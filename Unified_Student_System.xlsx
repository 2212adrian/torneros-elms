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ria\Documents\~VS Code Saves\ELMS Torneros\python create excel\"/>
    </mc:Choice>
  </mc:AlternateContent>
  <xr:revisionPtr revIDLastSave="0" documentId="13_ncr:1_{7BC904B7-93CD-4438-A86F-87E4CE8757A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udents" sheetId="1" r:id="rId1"/>
    <sheet name="Subje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7" i="2"/>
  <c r="H8" i="2"/>
  <c r="H9" i="2"/>
  <c r="H6" i="2"/>
  <c r="H5" i="2"/>
  <c r="H4" i="2"/>
  <c r="H3" i="2"/>
  <c r="I283" i="2"/>
  <c r="I101" i="2"/>
  <c r="H2" i="2"/>
  <c r="A47" i="2"/>
  <c r="G47" i="2"/>
  <c r="I47" i="2" s="1"/>
  <c r="A110" i="2"/>
  <c r="G110" i="2"/>
  <c r="A20" i="2"/>
  <c r="G20" i="2"/>
  <c r="A65" i="2"/>
  <c r="G65" i="2"/>
  <c r="I65" i="2" s="1"/>
  <c r="A38" i="2"/>
  <c r="G38" i="2"/>
  <c r="I38" i="2" s="1"/>
  <c r="A101" i="2"/>
  <c r="G101" i="2"/>
  <c r="A56" i="2"/>
  <c r="G56" i="2"/>
  <c r="A137" i="2"/>
  <c r="G137" i="2"/>
  <c r="A119" i="2"/>
  <c r="G119" i="2"/>
  <c r="A74" i="2"/>
  <c r="G74" i="2"/>
  <c r="I74" i="2"/>
  <c r="A2" i="2"/>
  <c r="G2" i="2"/>
  <c r="A83" i="2"/>
  <c r="G83" i="2"/>
  <c r="A11" i="2"/>
  <c r="G11" i="2"/>
  <c r="I11" i="2" s="1"/>
  <c r="A29" i="2"/>
  <c r="G29" i="2"/>
  <c r="I29" i="2" s="1"/>
  <c r="A92" i="2"/>
  <c r="G92" i="2"/>
  <c r="I92" i="2" s="1"/>
  <c r="A272" i="2"/>
  <c r="G272" i="2"/>
  <c r="A191" i="2"/>
  <c r="G191" i="2"/>
  <c r="I191" i="2" s="1"/>
  <c r="A254" i="2"/>
  <c r="G254" i="2"/>
  <c r="A164" i="2"/>
  <c r="G164" i="2"/>
  <c r="A209" i="2"/>
  <c r="G209" i="2"/>
  <c r="I209" i="2" s="1"/>
  <c r="A182" i="2"/>
  <c r="G182" i="2"/>
  <c r="I182" i="2" s="1"/>
  <c r="A245" i="2"/>
  <c r="G245" i="2"/>
  <c r="A200" i="2"/>
  <c r="G200" i="2"/>
  <c r="A281" i="2"/>
  <c r="G281" i="2"/>
  <c r="A263" i="2"/>
  <c r="G263" i="2"/>
  <c r="A218" i="2"/>
  <c r="G218" i="2"/>
  <c r="I218" i="2" s="1"/>
  <c r="A146" i="2"/>
  <c r="G146" i="2"/>
  <c r="A227" i="2"/>
  <c r="G227" i="2"/>
  <c r="A155" i="2"/>
  <c r="G155" i="2"/>
  <c r="I155" i="2" s="1"/>
  <c r="A173" i="2"/>
  <c r="G173" i="2"/>
  <c r="I173" i="2" s="1"/>
  <c r="A236" i="2"/>
  <c r="G236" i="2"/>
  <c r="I236" i="2" s="1"/>
  <c r="A416" i="2"/>
  <c r="G416" i="2"/>
  <c r="A335" i="2"/>
  <c r="G335" i="2"/>
  <c r="I335" i="2" s="1"/>
  <c r="A398" i="2"/>
  <c r="G398" i="2"/>
  <c r="I398" i="2" s="1"/>
  <c r="A308" i="2"/>
  <c r="G308" i="2"/>
  <c r="A353" i="2"/>
  <c r="G353" i="2"/>
  <c r="I353" i="2" s="1"/>
  <c r="A326" i="2"/>
  <c r="G326" i="2"/>
  <c r="I326" i="2" s="1"/>
  <c r="A389" i="2"/>
  <c r="G389" i="2"/>
  <c r="A344" i="2"/>
  <c r="G344" i="2"/>
  <c r="A425" i="2"/>
  <c r="G425" i="2"/>
  <c r="A407" i="2"/>
  <c r="G407" i="2"/>
  <c r="A362" i="2"/>
  <c r="G362" i="2"/>
  <c r="A290" i="2"/>
  <c r="G290" i="2"/>
  <c r="A371" i="2"/>
  <c r="G371" i="2"/>
  <c r="A299" i="2"/>
  <c r="G299" i="2"/>
  <c r="I299" i="2" s="1"/>
  <c r="A317" i="2"/>
  <c r="G317" i="2"/>
  <c r="I317" i="2" s="1"/>
  <c r="A380" i="2"/>
  <c r="G380" i="2"/>
  <c r="A443" i="2"/>
  <c r="G443" i="2"/>
  <c r="I443" i="2" s="1"/>
  <c r="A434" i="2"/>
  <c r="G434" i="2"/>
  <c r="G48" i="2"/>
  <c r="G111" i="2"/>
  <c r="I111" i="2" s="1"/>
  <c r="G21" i="2"/>
  <c r="G66" i="2"/>
  <c r="G39" i="2"/>
  <c r="G102" i="2"/>
  <c r="I102" i="2" s="1"/>
  <c r="G57" i="2"/>
  <c r="G138" i="2"/>
  <c r="I138" i="2" s="1"/>
  <c r="G120" i="2"/>
  <c r="I120" i="2" s="1"/>
  <c r="G75" i="2"/>
  <c r="I75" i="2" s="1"/>
  <c r="G3" i="2"/>
  <c r="I3" i="2" s="1"/>
  <c r="G84" i="2"/>
  <c r="G12" i="2"/>
  <c r="I12" i="2" s="1"/>
  <c r="G30" i="2"/>
  <c r="I30" i="2" s="1"/>
  <c r="G93" i="2"/>
  <c r="I93" i="2" s="1"/>
  <c r="G273" i="2"/>
  <c r="I273" i="2" s="1"/>
  <c r="G192" i="2"/>
  <c r="G255" i="2"/>
  <c r="I255" i="2"/>
  <c r="G165" i="2"/>
  <c r="G210" i="2"/>
  <c r="G183" i="2"/>
  <c r="G246" i="2"/>
  <c r="I246" i="2" s="1"/>
  <c r="G201" i="2"/>
  <c r="G282" i="2"/>
  <c r="I282" i="2" s="1"/>
  <c r="G264" i="2"/>
  <c r="G219" i="2"/>
  <c r="I219" i="2" s="1"/>
  <c r="G147" i="2"/>
  <c r="G228" i="2"/>
  <c r="G156" i="2"/>
  <c r="I156" i="2" s="1"/>
  <c r="G174" i="2"/>
  <c r="I174" i="2" s="1"/>
  <c r="G237" i="2"/>
  <c r="I237" i="2" s="1"/>
  <c r="G417" i="2"/>
  <c r="G336" i="2"/>
  <c r="I336" i="2" s="1"/>
  <c r="G399" i="2"/>
  <c r="I399" i="2" s="1"/>
  <c r="G309" i="2"/>
  <c r="G354" i="2"/>
  <c r="G327" i="2"/>
  <c r="G390" i="2"/>
  <c r="G345" i="2"/>
  <c r="G426" i="2"/>
  <c r="I426" i="2" s="1"/>
  <c r="G408" i="2"/>
  <c r="G363" i="2"/>
  <c r="I363" i="2" s="1"/>
  <c r="G291" i="2"/>
  <c r="G372" i="2"/>
  <c r="G300" i="2"/>
  <c r="I300" i="2" s="1"/>
  <c r="G318" i="2"/>
  <c r="G381" i="2"/>
  <c r="I381" i="2" s="1"/>
  <c r="G444" i="2"/>
  <c r="I444" i="2" s="1"/>
  <c r="G435" i="2"/>
  <c r="G49" i="2"/>
  <c r="I49" i="2" s="1"/>
  <c r="G112" i="2"/>
  <c r="I112" i="2" s="1"/>
  <c r="G22" i="2"/>
  <c r="G67" i="2"/>
  <c r="G40" i="2"/>
  <c r="G103" i="2"/>
  <c r="I103" i="2" s="1"/>
  <c r="G58" i="2"/>
  <c r="I58" i="2" s="1"/>
  <c r="G139" i="2"/>
  <c r="I139" i="2" s="1"/>
  <c r="G121" i="2"/>
  <c r="G76" i="2"/>
  <c r="I76" i="2" s="1"/>
  <c r="G4" i="2"/>
  <c r="I4" i="2" s="1"/>
  <c r="G85" i="2"/>
  <c r="G13" i="2"/>
  <c r="G31" i="2"/>
  <c r="I31" i="2" s="1"/>
  <c r="G94" i="2"/>
  <c r="I94" i="2" s="1"/>
  <c r="G274" i="2"/>
  <c r="G193" i="2"/>
  <c r="I193" i="2" s="1"/>
  <c r="G256" i="2"/>
  <c r="I256" i="2" s="1"/>
  <c r="G166" i="2"/>
  <c r="G211" i="2"/>
  <c r="G184" i="2"/>
  <c r="G247" i="2"/>
  <c r="I247" i="2" s="1"/>
  <c r="G202" i="2"/>
  <c r="I202" i="2" s="1"/>
  <c r="G283" i="2"/>
  <c r="G265" i="2"/>
  <c r="G220" i="2"/>
  <c r="I220" i="2" s="1"/>
  <c r="G148" i="2"/>
  <c r="G229" i="2"/>
  <c r="G157" i="2"/>
  <c r="I157" i="2" s="1"/>
  <c r="G175" i="2"/>
  <c r="I175" i="2" s="1"/>
  <c r="G238" i="2"/>
  <c r="I238" i="2" s="1"/>
  <c r="G418" i="2"/>
  <c r="G337" i="2"/>
  <c r="I337" i="2" s="1"/>
  <c r="G400" i="2"/>
  <c r="I400" i="2" s="1"/>
  <c r="G310" i="2"/>
  <c r="G355" i="2"/>
  <c r="G328" i="2"/>
  <c r="G391" i="2"/>
  <c r="I391" i="2" s="1"/>
  <c r="G346" i="2"/>
  <c r="I346" i="2" s="1"/>
  <c r="G427" i="2"/>
  <c r="I427" i="2" s="1"/>
  <c r="G409" i="2"/>
  <c r="G364" i="2"/>
  <c r="I364" i="2" s="1"/>
  <c r="G292" i="2"/>
  <c r="G373" i="2"/>
  <c r="G301" i="2"/>
  <c r="I301" i="2" s="1"/>
  <c r="G319" i="2"/>
  <c r="I319" i="2" s="1"/>
  <c r="G382" i="2"/>
  <c r="I382" i="2" s="1"/>
  <c r="G445" i="2"/>
  <c r="I445" i="2" s="1"/>
  <c r="G436" i="2"/>
  <c r="G50" i="2"/>
  <c r="G113" i="2"/>
  <c r="I113" i="2" s="1"/>
  <c r="G23" i="2"/>
  <c r="G68" i="2"/>
  <c r="G41" i="2"/>
  <c r="G104" i="2"/>
  <c r="I104" i="2" s="1"/>
  <c r="G59" i="2"/>
  <c r="I59" i="2" s="1"/>
  <c r="G140" i="2"/>
  <c r="I140" i="2" s="1"/>
  <c r="G122" i="2"/>
  <c r="I122" i="2" s="1"/>
  <c r="G77" i="2"/>
  <c r="I77" i="2" s="1"/>
  <c r="G5" i="2"/>
  <c r="I5" i="2" s="1"/>
  <c r="G86" i="2"/>
  <c r="G14" i="2"/>
  <c r="I14" i="2" s="1"/>
  <c r="G32" i="2"/>
  <c r="I32" i="2" s="1"/>
  <c r="G95" i="2"/>
  <c r="I95" i="2" s="1"/>
  <c r="G275" i="2"/>
  <c r="G194" i="2"/>
  <c r="G257" i="2"/>
  <c r="I257" i="2" s="1"/>
  <c r="G167" i="2"/>
  <c r="G212" i="2"/>
  <c r="G185" i="2"/>
  <c r="G248" i="2"/>
  <c r="I248" i="2" s="1"/>
  <c r="G203" i="2"/>
  <c r="I203" i="2" s="1"/>
  <c r="G284" i="2"/>
  <c r="I284" i="2" s="1"/>
  <c r="G266" i="2"/>
  <c r="I266" i="2" s="1"/>
  <c r="G221" i="2"/>
  <c r="G149" i="2"/>
  <c r="G230" i="2"/>
  <c r="G158" i="2"/>
  <c r="I158" i="2" s="1"/>
  <c r="G176" i="2"/>
  <c r="I176" i="2" s="1"/>
  <c r="G239" i="2"/>
  <c r="I239" i="2" s="1"/>
  <c r="G419" i="2"/>
  <c r="G338" i="2"/>
  <c r="G401" i="2"/>
  <c r="I401" i="2" s="1"/>
  <c r="G311" i="2"/>
  <c r="G356" i="2"/>
  <c r="I356" i="2" s="1"/>
  <c r="G329" i="2"/>
  <c r="G392" i="2"/>
  <c r="I392" i="2" s="1"/>
  <c r="G347" i="2"/>
  <c r="I347" i="2" s="1"/>
  <c r="G428" i="2"/>
  <c r="I428" i="2" s="1"/>
  <c r="G410" i="2"/>
  <c r="I410" i="2" s="1"/>
  <c r="G365" i="2"/>
  <c r="G293" i="2"/>
  <c r="G374" i="2"/>
  <c r="G302" i="2"/>
  <c r="I302" i="2" s="1"/>
  <c r="G320" i="2"/>
  <c r="I320" i="2" s="1"/>
  <c r="G383" i="2"/>
  <c r="I383" i="2" s="1"/>
  <c r="G446" i="2"/>
  <c r="I446" i="2" s="1"/>
  <c r="G437" i="2"/>
  <c r="G51" i="2"/>
  <c r="G114" i="2"/>
  <c r="I114" i="2" s="1"/>
  <c r="G24" i="2"/>
  <c r="G69" i="2"/>
  <c r="I69" i="2" s="1"/>
  <c r="G42" i="2"/>
  <c r="I42" i="2" s="1"/>
  <c r="G105" i="2"/>
  <c r="G60" i="2"/>
  <c r="I60" i="2" s="1"/>
  <c r="G141" i="2"/>
  <c r="I141" i="2" s="1"/>
  <c r="G123" i="2"/>
  <c r="I123" i="2" s="1"/>
  <c r="G78" i="2"/>
  <c r="I78" i="2" s="1"/>
  <c r="G6" i="2"/>
  <c r="I6" i="2" s="1"/>
  <c r="G87" i="2"/>
  <c r="G15" i="2"/>
  <c r="I15" i="2" s="1"/>
  <c r="G33" i="2"/>
  <c r="I33" i="2" s="1"/>
  <c r="G96" i="2"/>
  <c r="I96" i="2" s="1"/>
  <c r="G276" i="2"/>
  <c r="G195" i="2"/>
  <c r="G258" i="2"/>
  <c r="I258" i="2" s="1"/>
  <c r="G168" i="2"/>
  <c r="G213" i="2"/>
  <c r="I213" i="2" s="1"/>
  <c r="G186" i="2"/>
  <c r="I186" i="2" s="1"/>
  <c r="G249" i="2"/>
  <c r="G204" i="2"/>
  <c r="I204" i="2" s="1"/>
  <c r="G285" i="2"/>
  <c r="I285" i="2" s="1"/>
  <c r="G267" i="2"/>
  <c r="I267" i="2" s="1"/>
  <c r="G222" i="2"/>
  <c r="I222" i="2" s="1"/>
  <c r="G150" i="2"/>
  <c r="G231" i="2"/>
  <c r="G159" i="2"/>
  <c r="G177" i="2"/>
  <c r="I177" i="2" s="1"/>
  <c r="G240" i="2"/>
  <c r="I240" i="2" s="1"/>
  <c r="G420" i="2"/>
  <c r="G339" i="2"/>
  <c r="G402" i="2"/>
  <c r="I402" i="2" s="1"/>
  <c r="G312" i="2"/>
  <c r="G357" i="2"/>
  <c r="I357" i="2" s="1"/>
  <c r="G330" i="2"/>
  <c r="I330" i="2" s="1"/>
  <c r="G393" i="2"/>
  <c r="G348" i="2"/>
  <c r="G429" i="2"/>
  <c r="G411" i="2"/>
  <c r="G366" i="2"/>
  <c r="I366" i="2" s="1"/>
  <c r="G294" i="2"/>
  <c r="G375" i="2"/>
  <c r="G303" i="2"/>
  <c r="I303" i="2" s="1"/>
  <c r="G321" i="2"/>
  <c r="I321" i="2" s="1"/>
  <c r="G384" i="2"/>
  <c r="G447" i="2"/>
  <c r="I447" i="2" s="1"/>
  <c r="G438" i="2"/>
  <c r="G52" i="2"/>
  <c r="I52" i="2" s="1"/>
  <c r="G115" i="2"/>
  <c r="I115" i="2" s="1"/>
  <c r="G25" i="2"/>
  <c r="G70" i="2"/>
  <c r="I70" i="2" s="1"/>
  <c r="G43" i="2"/>
  <c r="I43" i="2" s="1"/>
  <c r="G106" i="2"/>
  <c r="I106" i="2" s="1"/>
  <c r="G61" i="2"/>
  <c r="I61" i="2" s="1"/>
  <c r="G142" i="2"/>
  <c r="I142" i="2" s="1"/>
  <c r="G124" i="2"/>
  <c r="I124" i="2" s="1"/>
  <c r="G79" i="2"/>
  <c r="I79" i="2"/>
  <c r="G7" i="2"/>
  <c r="I7" i="2" s="1"/>
  <c r="G88" i="2"/>
  <c r="G16" i="2"/>
  <c r="I16" i="2" s="1"/>
  <c r="G34" i="2"/>
  <c r="G97" i="2"/>
  <c r="G277" i="2"/>
  <c r="G196" i="2"/>
  <c r="I196" i="2" s="1"/>
  <c r="G259" i="2"/>
  <c r="I259" i="2" s="1"/>
  <c r="G169" i="2"/>
  <c r="I169" i="2" s="1"/>
  <c r="G214" i="2"/>
  <c r="G187" i="2"/>
  <c r="I187" i="2" s="1"/>
  <c r="G250" i="2"/>
  <c r="I250" i="2" s="1"/>
  <c r="G205" i="2"/>
  <c r="I205" i="2" s="1"/>
  <c r="G286" i="2"/>
  <c r="I286" i="2" s="1"/>
  <c r="G268" i="2"/>
  <c r="I268" i="2" s="1"/>
  <c r="G223" i="2"/>
  <c r="I223" i="2"/>
  <c r="G151" i="2"/>
  <c r="G232" i="2"/>
  <c r="G160" i="2"/>
  <c r="I160" i="2" s="1"/>
  <c r="G178" i="2"/>
  <c r="I178" i="2" s="1"/>
  <c r="G241" i="2"/>
  <c r="G421" i="2"/>
  <c r="G340" i="2"/>
  <c r="I340" i="2" s="1"/>
  <c r="G403" i="2"/>
  <c r="I403" i="2" s="1"/>
  <c r="G313" i="2"/>
  <c r="G358" i="2"/>
  <c r="G331" i="2"/>
  <c r="I331" i="2" s="1"/>
  <c r="G394" i="2"/>
  <c r="G349" i="2"/>
  <c r="I349" i="2" s="1"/>
  <c r="G430" i="2"/>
  <c r="I430" i="2" s="1"/>
  <c r="G412" i="2"/>
  <c r="I412" i="2" s="1"/>
  <c r="G367" i="2"/>
  <c r="I367" i="2" s="1"/>
  <c r="G295" i="2"/>
  <c r="G376" i="2"/>
  <c r="G304" i="2"/>
  <c r="G322" i="2"/>
  <c r="I322" i="2" s="1"/>
  <c r="G385" i="2"/>
  <c r="I385" i="2" s="1"/>
  <c r="G448" i="2"/>
  <c r="I448" i="2" s="1"/>
  <c r="G439" i="2"/>
  <c r="G53" i="2"/>
  <c r="G116" i="2"/>
  <c r="G26" i="2"/>
  <c r="G71" i="2"/>
  <c r="G44" i="2"/>
  <c r="I44" i="2" s="1"/>
  <c r="G107" i="2"/>
  <c r="I107" i="2" s="1"/>
  <c r="G62" i="2"/>
  <c r="I62" i="2" s="1"/>
  <c r="G143" i="2"/>
  <c r="I143" i="2" s="1"/>
  <c r="G125" i="2"/>
  <c r="I125" i="2" s="1"/>
  <c r="G80" i="2"/>
  <c r="I80" i="2" s="1"/>
  <c r="G8" i="2"/>
  <c r="I8" i="2" s="1"/>
  <c r="G89" i="2"/>
  <c r="G17" i="2"/>
  <c r="I17" i="2" s="1"/>
  <c r="G35" i="2"/>
  <c r="I35" i="2"/>
  <c r="G98" i="2"/>
  <c r="I98" i="2" s="1"/>
  <c r="G278" i="2"/>
  <c r="I278" i="2" s="1"/>
  <c r="G197" i="2"/>
  <c r="G260" i="2"/>
  <c r="G170" i="2"/>
  <c r="G215" i="2"/>
  <c r="G188" i="2"/>
  <c r="I188" i="2" s="1"/>
  <c r="G251" i="2"/>
  <c r="I251" i="2" s="1"/>
  <c r="G206" i="2"/>
  <c r="I206" i="2" s="1"/>
  <c r="G287" i="2"/>
  <c r="I287" i="2" s="1"/>
  <c r="G269" i="2"/>
  <c r="I269" i="2" s="1"/>
  <c r="G224" i="2"/>
  <c r="I224" i="2" s="1"/>
  <c r="G152" i="2"/>
  <c r="G233" i="2"/>
  <c r="G161" i="2"/>
  <c r="I161" i="2" s="1"/>
  <c r="G179" i="2"/>
  <c r="G242" i="2"/>
  <c r="I242" i="2" s="1"/>
  <c r="G422" i="2"/>
  <c r="I422" i="2" s="1"/>
  <c r="G341" i="2"/>
  <c r="G404" i="2"/>
  <c r="G314" i="2"/>
  <c r="I314" i="2" s="1"/>
  <c r="G359" i="2"/>
  <c r="G332" i="2"/>
  <c r="I332" i="2" s="1"/>
  <c r="A128" i="2"/>
  <c r="G134" i="2"/>
  <c r="G131" i="2"/>
  <c r="G133" i="2"/>
  <c r="G130" i="2"/>
  <c r="G132" i="2"/>
  <c r="G129" i="2"/>
  <c r="I129" i="2" s="1"/>
  <c r="G128" i="2"/>
  <c r="I128" i="2" s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13" i="2" l="1"/>
  <c r="I311" i="2"/>
  <c r="I167" i="2"/>
  <c r="I23" i="2"/>
  <c r="I327" i="2"/>
  <c r="I183" i="2"/>
  <c r="I41" i="2"/>
  <c r="I233" i="2"/>
  <c r="I438" i="2"/>
  <c r="I310" i="2"/>
  <c r="I39" i="2"/>
  <c r="I168" i="2"/>
  <c r="I152" i="2"/>
  <c r="I89" i="2"/>
  <c r="I57" i="2"/>
  <c r="I376" i="2"/>
  <c r="I329" i="2"/>
  <c r="I295" i="2"/>
  <c r="I151" i="2"/>
  <c r="I25" i="2"/>
  <c r="I24" i="2"/>
  <c r="I375" i="2"/>
  <c r="I231" i="2"/>
  <c r="I87" i="2"/>
  <c r="I407" i="2"/>
  <c r="I345" i="2"/>
  <c r="I40" i="2"/>
  <c r="I425" i="2"/>
  <c r="I281" i="2"/>
  <c r="I312" i="2"/>
  <c r="I359" i="2"/>
  <c r="I215" i="2"/>
  <c r="I137" i="2"/>
  <c r="I184" i="2"/>
  <c r="I71" i="2"/>
  <c r="I344" i="2"/>
  <c r="I200" i="2"/>
  <c r="I185" i="2"/>
  <c r="I409" i="2"/>
  <c r="I265" i="2"/>
  <c r="I121" i="2"/>
  <c r="I56" i="2"/>
  <c r="I313" i="2"/>
  <c r="I393" i="2"/>
  <c r="I249" i="2"/>
  <c r="I105" i="2"/>
  <c r="I408" i="2"/>
  <c r="I264" i="2"/>
  <c r="I439" i="2"/>
  <c r="I179" i="2"/>
  <c r="I328" i="2"/>
  <c r="I201" i="2"/>
  <c r="I241" i="2"/>
  <c r="I97" i="2"/>
  <c r="I304" i="2"/>
  <c r="I159" i="2"/>
  <c r="I263" i="2"/>
  <c r="I119" i="2"/>
  <c r="I394" i="2"/>
  <c r="I221" i="2"/>
  <c r="I170" i="2"/>
  <c r="I429" i="2"/>
  <c r="I348" i="2"/>
  <c r="I53" i="2"/>
  <c r="I132" i="2"/>
  <c r="I34" i="2"/>
  <c r="I420" i="2"/>
  <c r="I276" i="2"/>
  <c r="I338" i="2"/>
  <c r="I194" i="2"/>
  <c r="I50" i="2"/>
  <c r="I166" i="2"/>
  <c r="I22" i="2"/>
  <c r="I354" i="2"/>
  <c r="I210" i="2"/>
  <c r="I277" i="2"/>
  <c r="I371" i="2"/>
  <c r="I275" i="2"/>
  <c r="I436" i="2"/>
  <c r="I165" i="2"/>
  <c r="I66" i="2"/>
  <c r="I290" i="2"/>
  <c r="I146" i="2"/>
  <c r="I164" i="2"/>
  <c r="I421" i="2"/>
  <c r="I133" i="2"/>
  <c r="I418" i="2"/>
  <c r="I211" i="2"/>
  <c r="I131" i="2"/>
  <c r="I51" i="2"/>
  <c r="I134" i="2"/>
  <c r="I83" i="2"/>
  <c r="I374" i="2"/>
  <c r="I230" i="2"/>
  <c r="I86" i="2"/>
  <c r="I293" i="2"/>
  <c r="I149" i="2"/>
  <c r="I373" i="2"/>
  <c r="I227" i="2"/>
  <c r="I292" i="2"/>
  <c r="I148" i="2"/>
  <c r="I85" i="2"/>
  <c r="I272" i="2"/>
  <c r="I372" i="2"/>
  <c r="I195" i="2"/>
  <c r="I67" i="2"/>
  <c r="I404" i="2"/>
  <c r="I260" i="2"/>
  <c r="I358" i="2"/>
  <c r="I84" i="2"/>
  <c r="I380" i="2"/>
  <c r="I116" i="2"/>
  <c r="I214" i="2"/>
  <c r="I212" i="2"/>
  <c r="I68" i="2"/>
  <c r="I390" i="2"/>
  <c r="I339" i="2"/>
  <c r="I130" i="2"/>
  <c r="I232" i="2"/>
  <c r="I384" i="2"/>
  <c r="I88" i="2"/>
  <c r="I274" i="2"/>
  <c r="I435" i="2"/>
  <c r="I362" i="2"/>
  <c r="I254" i="2"/>
  <c r="I192" i="2"/>
  <c r="I48" i="2"/>
  <c r="I110" i="2"/>
  <c r="I294" i="2"/>
  <c r="I150" i="2"/>
  <c r="I318" i="2"/>
  <c r="I411" i="2"/>
  <c r="I365" i="2"/>
  <c r="I26" i="2"/>
  <c r="I355" i="2"/>
  <c r="I437" i="2"/>
  <c r="I419" i="2"/>
  <c r="I309" i="2"/>
  <c r="I308" i="2"/>
  <c r="I21" i="2"/>
  <c r="I20" i="2"/>
  <c r="I417" i="2"/>
  <c r="I434" i="2"/>
  <c r="I229" i="2"/>
  <c r="I416" i="2"/>
  <c r="I228" i="2"/>
  <c r="I291" i="2"/>
  <c r="I147" i="2"/>
  <c r="I341" i="2"/>
  <c r="I197" i="2"/>
  <c r="I389" i="2"/>
  <c r="I245" i="2"/>
  <c r="I2" i="2"/>
</calcChain>
</file>

<file path=xl/sharedStrings.xml><?xml version="1.0" encoding="utf-8"?>
<sst xmlns="http://schemas.openxmlformats.org/spreadsheetml/2006/main" count="2231" uniqueCount="288">
  <si>
    <t>student_id</t>
  </si>
  <si>
    <t>fullName</t>
  </si>
  <si>
    <t>gender</t>
  </si>
  <si>
    <t>birthdate</t>
  </si>
  <si>
    <t>age</t>
  </si>
  <si>
    <t>course</t>
  </si>
  <si>
    <t>contactNumber</t>
  </si>
  <si>
    <t>email</t>
  </si>
  <si>
    <t>100000</t>
  </si>
  <si>
    <t>Alex Santos</t>
  </si>
  <si>
    <t>Male</t>
  </si>
  <si>
    <t>2006-01-10</t>
  </si>
  <si>
    <t>BSIT</t>
  </si>
  <si>
    <t>09277125461</t>
  </si>
  <si>
    <t>student100000@torneros.edu.ph</t>
  </si>
  <si>
    <t>100001</t>
  </si>
  <si>
    <t>Alex Garcia</t>
  </si>
  <si>
    <t>Female</t>
  </si>
  <si>
    <t>2005-02-11</t>
  </si>
  <si>
    <t>BSCS</t>
  </si>
  <si>
    <t>09761393220</t>
  </si>
  <si>
    <t>student100001@torneros.edu.ph</t>
  </si>
  <si>
    <t>100002</t>
  </si>
  <si>
    <t>Alex Reyes</t>
  </si>
  <si>
    <t>2004-03-12</t>
  </si>
  <si>
    <t>09189795489</t>
  </si>
  <si>
    <t>student100002@torneros.edu.ph</t>
  </si>
  <si>
    <t>100003</t>
  </si>
  <si>
    <t>Alex Cruz</t>
  </si>
  <si>
    <t>2003-04-13</t>
  </si>
  <si>
    <t>09730730038</t>
  </si>
  <si>
    <t>student100003@torneros.edu.ph</t>
  </si>
  <si>
    <t>100004</t>
  </si>
  <si>
    <t>Alex Lopez</t>
  </si>
  <si>
    <t>2002-05-14</t>
  </si>
  <si>
    <t>09947623901</t>
  </si>
  <si>
    <t>student100004@torneros.edu.ph</t>
  </si>
  <si>
    <t>100005</t>
  </si>
  <si>
    <t>Alex Flores</t>
  </si>
  <si>
    <t>2006-06-15</t>
  </si>
  <si>
    <t>09217809857</t>
  </si>
  <si>
    <t>student100005@torneros.edu.ph</t>
  </si>
  <si>
    <t>100006</t>
  </si>
  <si>
    <t>Alex Ramos</t>
  </si>
  <si>
    <t>2005-07-16</t>
  </si>
  <si>
    <t>09713564024</t>
  </si>
  <si>
    <t>student100006@torneros.edu.ph</t>
  </si>
  <si>
    <t>100007</t>
  </si>
  <si>
    <t>Alex Gonzales</t>
  </si>
  <si>
    <t>2004-08-17</t>
  </si>
  <si>
    <t>09367870536</t>
  </si>
  <si>
    <t>student100007@torneros.edu.ph</t>
  </si>
  <si>
    <t>100008</t>
  </si>
  <si>
    <t>Alex Torres</t>
  </si>
  <si>
    <t>2003-09-18</t>
  </si>
  <si>
    <t>09171841123</t>
  </si>
  <si>
    <t>student100008@torneros.edu.ph</t>
  </si>
  <si>
    <t>100009</t>
  </si>
  <si>
    <t>Alex Rivera</t>
  </si>
  <si>
    <t>2002-01-19</t>
  </si>
  <si>
    <t>09399139917</t>
  </si>
  <si>
    <t>student100009@torneros.edu.ph</t>
  </si>
  <si>
    <t>100010</t>
  </si>
  <si>
    <t>Alex Mendoza</t>
  </si>
  <si>
    <t>2006-02-10</t>
  </si>
  <si>
    <t>09468223775</t>
  </si>
  <si>
    <t>student100010@torneros.edu.ph</t>
  </si>
  <si>
    <t>100011</t>
  </si>
  <si>
    <t>Alex Aquino</t>
  </si>
  <si>
    <t>2005-03-11</t>
  </si>
  <si>
    <t>09266810976</t>
  </si>
  <si>
    <t>student100011@torneros.edu.ph</t>
  </si>
  <si>
    <t>100012</t>
  </si>
  <si>
    <t>Alex Morales</t>
  </si>
  <si>
    <t>2004-04-12</t>
  </si>
  <si>
    <t>09426568791</t>
  </si>
  <si>
    <t>student100012@torneros.edu.ph</t>
  </si>
  <si>
    <t>100013</t>
  </si>
  <si>
    <t>Alex Castro</t>
  </si>
  <si>
    <t>2003-05-13</t>
  </si>
  <si>
    <t>09515753112</t>
  </si>
  <si>
    <t>student100013@torneros.edu.ph</t>
  </si>
  <si>
    <t>100014</t>
  </si>
  <si>
    <t>Alex Delos Reyes</t>
  </si>
  <si>
    <t>2002-06-14</t>
  </si>
  <si>
    <t>09395140198</t>
  </si>
  <si>
    <t>student100014@torneros.edu.ph</t>
  </si>
  <si>
    <t>100015</t>
  </si>
  <si>
    <t>Alex Perez</t>
  </si>
  <si>
    <t>2006-07-15</t>
  </si>
  <si>
    <t>09379605102</t>
  </si>
  <si>
    <t>student100015@torneros.edu.ph</t>
  </si>
  <si>
    <t>100016</t>
  </si>
  <si>
    <t>Bea Santos</t>
  </si>
  <si>
    <t>2005-08-16</t>
  </si>
  <si>
    <t>09334159260</t>
  </si>
  <si>
    <t>student100016@torneros.edu.ph</t>
  </si>
  <si>
    <t>100017</t>
  </si>
  <si>
    <t>Bea Garcia</t>
  </si>
  <si>
    <t>2004-09-17</t>
  </si>
  <si>
    <t>09837952784</t>
  </si>
  <si>
    <t>student100017@torneros.edu.ph</t>
  </si>
  <si>
    <t>100018</t>
  </si>
  <si>
    <t>Bea Reyes</t>
  </si>
  <si>
    <t>2003-01-18</t>
  </si>
  <si>
    <t>09848083227</t>
  </si>
  <si>
    <t>student100018@torneros.edu.ph</t>
  </si>
  <si>
    <t>100019</t>
  </si>
  <si>
    <t>Bea Cruz</t>
  </si>
  <si>
    <t>2002-02-19</t>
  </si>
  <si>
    <t>09840536120</t>
  </si>
  <si>
    <t>student100019@torneros.edu.ph</t>
  </si>
  <si>
    <t>100020</t>
  </si>
  <si>
    <t>Bea Lopez</t>
  </si>
  <si>
    <t>2006-03-10</t>
  </si>
  <si>
    <t>09920375242</t>
  </si>
  <si>
    <t>student100020@torneros.edu.ph</t>
  </si>
  <si>
    <t>100021</t>
  </si>
  <si>
    <t>Bea Flores</t>
  </si>
  <si>
    <t>2005-04-11</t>
  </si>
  <si>
    <t>09325031938</t>
  </si>
  <si>
    <t>student100021@torneros.edu.ph</t>
  </si>
  <si>
    <t>100022</t>
  </si>
  <si>
    <t>Bea Ramos</t>
  </si>
  <si>
    <t>2004-05-12</t>
  </si>
  <si>
    <t>09703767929</t>
  </si>
  <si>
    <t>student100022@torneros.edu.ph</t>
  </si>
  <si>
    <t>100023</t>
  </si>
  <si>
    <t>Bea Gonzales</t>
  </si>
  <si>
    <t>2003-06-13</t>
  </si>
  <si>
    <t>09340951665</t>
  </si>
  <si>
    <t>student100023@torneros.edu.ph</t>
  </si>
  <si>
    <t>100024</t>
  </si>
  <si>
    <t>Bea Torres</t>
  </si>
  <si>
    <t>2002-07-14</t>
  </si>
  <si>
    <t>09891509525</t>
  </si>
  <si>
    <t>student100024@torneros.edu.ph</t>
  </si>
  <si>
    <t>100025</t>
  </si>
  <si>
    <t>Bea Rivera</t>
  </si>
  <si>
    <t>2006-08-15</t>
  </si>
  <si>
    <t>09349766486</t>
  </si>
  <si>
    <t>student100025@torneros.edu.ph</t>
  </si>
  <si>
    <t>100026</t>
  </si>
  <si>
    <t>Bea Mendoza</t>
  </si>
  <si>
    <t>2005-09-16</t>
  </si>
  <si>
    <t>09268277620</t>
  </si>
  <si>
    <t>student100026@torneros.edu.ph</t>
  </si>
  <si>
    <t>100027</t>
  </si>
  <si>
    <t>Bea Aquino</t>
  </si>
  <si>
    <t>2004-01-17</t>
  </si>
  <si>
    <t>09365937523</t>
  </si>
  <si>
    <t>student100027@torneros.edu.ph</t>
  </si>
  <si>
    <t>100028</t>
  </si>
  <si>
    <t>Bea Morales</t>
  </si>
  <si>
    <t>2003-02-18</t>
  </si>
  <si>
    <t>09546266444</t>
  </si>
  <si>
    <t>student100028@torneros.edu.ph</t>
  </si>
  <si>
    <t>100029</t>
  </si>
  <si>
    <t>Bea Castro</t>
  </si>
  <si>
    <t>2002-03-19</t>
  </si>
  <si>
    <t>09828500624</t>
  </si>
  <si>
    <t>student100029@torneros.edu.ph</t>
  </si>
  <si>
    <t>100030</t>
  </si>
  <si>
    <t>Bea Delos Reyes</t>
  </si>
  <si>
    <t>2006-04-10</t>
  </si>
  <si>
    <t>09125552721</t>
  </si>
  <si>
    <t>student100030@torneros.edu.ph</t>
  </si>
  <si>
    <t>100031</t>
  </si>
  <si>
    <t>Bea Perez</t>
  </si>
  <si>
    <t>2005-05-11</t>
  </si>
  <si>
    <t>09393464328</t>
  </si>
  <si>
    <t>student100031@torneros.edu.ph</t>
  </si>
  <si>
    <t>100032</t>
  </si>
  <si>
    <t>Carlo Santos</t>
  </si>
  <si>
    <t>2004-06-12</t>
  </si>
  <si>
    <t>09974165247</t>
  </si>
  <si>
    <t>student100032@torneros.edu.ph</t>
  </si>
  <si>
    <t>100033</t>
  </si>
  <si>
    <t>Carlo Garcia</t>
  </si>
  <si>
    <t>2003-07-13</t>
  </si>
  <si>
    <t>09179194852</t>
  </si>
  <si>
    <t>student100033@torneros.edu.ph</t>
  </si>
  <si>
    <t>100034</t>
  </si>
  <si>
    <t>Carlo Reyes</t>
  </si>
  <si>
    <t>2002-08-14</t>
  </si>
  <si>
    <t>09632201855</t>
  </si>
  <si>
    <t>student100034@torneros.edu.ph</t>
  </si>
  <si>
    <t>100035</t>
  </si>
  <si>
    <t>Carlo Cruz</t>
  </si>
  <si>
    <t>2006-09-15</t>
  </si>
  <si>
    <t>09244519173</t>
  </si>
  <si>
    <t>student100035@torneros.edu.ph</t>
  </si>
  <si>
    <t>100036</t>
  </si>
  <si>
    <t>Carlo Lopez</t>
  </si>
  <si>
    <t>2005-01-16</t>
  </si>
  <si>
    <t>09390180357</t>
  </si>
  <si>
    <t>student100036@torneros.edu.ph</t>
  </si>
  <si>
    <t>100037</t>
  </si>
  <si>
    <t>Carlo Flores</t>
  </si>
  <si>
    <t>2004-02-17</t>
  </si>
  <si>
    <t>09956131735</t>
  </si>
  <si>
    <t>student100037@torneros.edu.ph</t>
  </si>
  <si>
    <t>100038</t>
  </si>
  <si>
    <t>Carlo Ramos</t>
  </si>
  <si>
    <t>2003-03-18</t>
  </si>
  <si>
    <t>09177071978</t>
  </si>
  <si>
    <t>student100038@torneros.edu.ph</t>
  </si>
  <si>
    <t>100039</t>
  </si>
  <si>
    <t>Carlo Gonzales</t>
  </si>
  <si>
    <t>2002-04-19</t>
  </si>
  <si>
    <t>09703503509</t>
  </si>
  <si>
    <t>student100039@torneros.edu.ph</t>
  </si>
  <si>
    <t>100040</t>
  </si>
  <si>
    <t>Carlo Torres</t>
  </si>
  <si>
    <t>2006-05-10</t>
  </si>
  <si>
    <t>09269479539</t>
  </si>
  <si>
    <t>student100040@torneros.edu.ph</t>
  </si>
  <si>
    <t>100041</t>
  </si>
  <si>
    <t>Carlo Rivera</t>
  </si>
  <si>
    <t>2005-06-11</t>
  </si>
  <si>
    <t>09850792502</t>
  </si>
  <si>
    <t>student100041@torneros.edu.ph</t>
  </si>
  <si>
    <t>100042</t>
  </si>
  <si>
    <t>Carlo Mendoza</t>
  </si>
  <si>
    <t>2004-07-12</t>
  </si>
  <si>
    <t>09619020023</t>
  </si>
  <si>
    <t>student100042@torneros.edu.ph</t>
  </si>
  <si>
    <t>100043</t>
  </si>
  <si>
    <t>Carlo Aquino</t>
  </si>
  <si>
    <t>2003-08-13</t>
  </si>
  <si>
    <t>09123977461</t>
  </si>
  <si>
    <t>student100043@torneros.edu.ph</t>
  </si>
  <si>
    <t>100044</t>
  </si>
  <si>
    <t>Carlo Morales</t>
  </si>
  <si>
    <t>2002-09-14</t>
  </si>
  <si>
    <t>09976904748</t>
  </si>
  <si>
    <t>student100044@torneros.edu.ph</t>
  </si>
  <si>
    <t>100045</t>
  </si>
  <si>
    <t>Carlo Castro</t>
  </si>
  <si>
    <t>2006-01-15</t>
  </si>
  <si>
    <t>09803458514</t>
  </si>
  <si>
    <t>student100045@torneros.edu.ph</t>
  </si>
  <si>
    <t>100046</t>
  </si>
  <si>
    <t>Carlo Delos Reyes</t>
  </si>
  <si>
    <t>2005-02-16</t>
  </si>
  <si>
    <t>09937024391</t>
  </si>
  <si>
    <t>student100046@torneros.edu.ph</t>
  </si>
  <si>
    <t>100047</t>
  </si>
  <si>
    <t>Carlo Perez</t>
  </si>
  <si>
    <t>2004-03-17</t>
  </si>
  <si>
    <t>09300991357</t>
  </si>
  <si>
    <t>student100047@torneros.edu.ph</t>
  </si>
  <si>
    <t>100048</t>
  </si>
  <si>
    <t>Dina Santos</t>
  </si>
  <si>
    <t>2003-04-18</t>
  </si>
  <si>
    <t>09991526330</t>
  </si>
  <si>
    <t>student100048@torneros.edu.ph</t>
  </si>
  <si>
    <t>100049</t>
  </si>
  <si>
    <t>Dina Garcia</t>
  </si>
  <si>
    <t>2002-05-19</t>
  </si>
  <si>
    <t>09779226774</t>
  </si>
  <si>
    <t>student100049@torneros.edu.ph</t>
  </si>
  <si>
    <t>subject_name</t>
  </si>
  <si>
    <t>prelim</t>
  </si>
  <si>
    <t>midterm</t>
  </si>
  <si>
    <t>prefinal</t>
  </si>
  <si>
    <t>finals</t>
  </si>
  <si>
    <t>GPA</t>
  </si>
  <si>
    <t>semester</t>
  </si>
  <si>
    <t>Data Structures</t>
  </si>
  <si>
    <t>2023-2024</t>
  </si>
  <si>
    <t>FIRST</t>
  </si>
  <si>
    <t>Database Systems</t>
  </si>
  <si>
    <t>Software Engineering</t>
  </si>
  <si>
    <t>SECOND</t>
  </si>
  <si>
    <t>Web Development</t>
  </si>
  <si>
    <t>2024-2025</t>
  </si>
  <si>
    <t>Programming 1</t>
  </si>
  <si>
    <t>Mobile App Dev</t>
  </si>
  <si>
    <t>2025-2026</t>
  </si>
  <si>
    <t>Discrete Mathematics</t>
  </si>
  <si>
    <t>Artificial Intelligence</t>
  </si>
  <si>
    <t>Introduction to Computing</t>
  </si>
  <si>
    <t>average</t>
  </si>
  <si>
    <t>remarks</t>
  </si>
  <si>
    <t>PASSED</t>
  </si>
  <si>
    <t>student_name</t>
  </si>
  <si>
    <t>year_level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</si>
</sst>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1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rgb="FFFFA3A3"/>
        </patternFill>
      </fill>
    </dxf>
    <dxf>
      <fill>
        <patternFill>
          <bgColor rgb="FFC7E6A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79998168889431442"/>
        </patternFill>
      </fill>
    </dxf>
  </dxfs>
  <tableStyles count="0" defaultTableStyle="TableStyleMedium9" defaultPivotStyle="PivotStyleLight16"/>
  <colors>
    <mruColors>
      <color rgb="FFFFA3A3"/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H52">
  <autoFilter ref="A1:H52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student_id"/>
    <tableColumn id="2" xr3:uid="{00000000-0010-0000-0000-000002000000}" name="fullName" dataDxfId="20"/>
    <tableColumn id="3" xr3:uid="{00000000-0010-0000-0000-000003000000}" name="gender" dataDxfId="19"/>
    <tableColumn id="4" xr3:uid="{00000000-0010-0000-0000-000004000000}" name="birthdate"/>
    <tableColumn id="5" xr3:uid="{00000000-0010-0000-0000-000005000000}" name="age"/>
    <tableColumn id="6" xr3:uid="{00000000-0010-0000-0000-000006000000}" name="course"/>
    <tableColumn id="7" xr3:uid="{00000000-0010-0000-0000-000007000000}" name="contactNumber"/>
    <tableColumn id="8" xr3:uid="{00000000-0010-0000-0000-000008000000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adesTable" displayName="GradesTable" ref="A1:K451" dataDxfId="18">
  <autoFilter ref="A1:K451" xr:uid="{00000000-0009-0000-0100-000002000000}"/>
  <sortState xmlns:xlrd2="http://schemas.microsoft.com/office/spreadsheetml/2017/richdata2" ref="A2:K451">
    <sortCondition ref="A1:A451"/>
  </sortState>
  <tableColumns count="11">
    <tableColumn id="1" xr3:uid="{00000000-0010-0000-0100-000001000000}" name="student_name" dataDxfId="17"/>
    <tableColumn id="2" xr3:uid="{00000000-0010-0000-0100-000002000000}" name="subject_name" dataDxfId="16"/>
    <tableColumn id="3" xr3:uid="{00000000-0010-0000-0100-000003000000}" name="prelim" dataDxfId="15"/>
    <tableColumn id="4" xr3:uid="{00000000-0010-0000-0100-000004000000}" name="midterm" dataDxfId="14"/>
    <tableColumn id="5" xr3:uid="{00000000-0010-0000-0100-000005000000}" name="prefinal" dataDxfId="13"/>
    <tableColumn id="6" xr3:uid="{00000000-0010-0000-0100-000006000000}" name="finals" dataDxfId="12"/>
    <tableColumn id="7" xr3:uid="{00000000-0010-0000-0100-000007000000}" name="average" dataDxfId="11"/>
    <tableColumn id="8" xr3:uid="{00000000-0010-0000-0100-000008000000}" name="GPA" dataDxfId="10">
      <calculatedColumnFormula>IF(G2&gt;=96,1,IF(G2&gt;=94,1.25,IF(G2&gt;=91,1.5,IF(G2&gt;=89,1.75,IF(G2&gt;=86,2,IF(G2&gt;=83,2.25,IF(G2&gt;=80,2.5,IF(G2&gt;=77,2.75,IF(G2&gt;=75,3,5)))))))))</calculatedColumnFormula>
    </tableColumn>
    <tableColumn id="9" xr3:uid="{00000000-0010-0000-0100-000009000000}" name="remarks" dataDxfId="9"/>
    <tableColumn id="10" xr3:uid="{F8A79CD8-2554-4773-A882-349845B111A2}" name="year_level" dataDxfId="8"/>
    <tableColumn id="11" xr3:uid="{9A724006-BC85-46E7-A921-F285955BE304}" name="semester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F24" sqref="F24"/>
    </sheetView>
  </sheetViews>
  <sheetFormatPr defaultRowHeight="15" x14ac:dyDescent="0.25"/>
  <cols>
    <col min="1" max="1" width="10.5703125" bestFit="1" customWidth="1"/>
    <col min="2" max="2" width="16.85546875" bestFit="1" customWidth="1"/>
    <col min="3" max="3" width="7.5703125" bestFit="1" customWidth="1"/>
    <col min="4" max="4" width="10.42578125" bestFit="1" customWidth="1"/>
    <col min="5" max="5" width="4.140625" bestFit="1" customWidth="1"/>
    <col min="6" max="6" width="6.85546875" bestFit="1" customWidth="1"/>
    <col min="7" max="7" width="14.85546875" bestFit="1" customWidth="1"/>
    <col min="8" max="8" width="30.85546875" bestFit="1" customWidth="1"/>
  </cols>
  <sheetData>
    <row r="1" spans="1:8" x14ac:dyDescent="0.25">
      <c r="A1" s="4" t="s">
        <v>0</v>
      </c>
      <c r="B1" s="10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5" t="s">
        <v>9</v>
      </c>
      <c r="C2" t="s">
        <v>10</v>
      </c>
      <c r="D2" t="s">
        <v>11</v>
      </c>
      <c r="E2" s="1">
        <f t="shared" ref="E2:E33" ca="1" si="0">IF(D2="","",DATEDIF(D2,TODAY(),"Y"))</f>
        <v>20</v>
      </c>
      <c r="F2" t="s">
        <v>12</v>
      </c>
      <c r="G2" t="s">
        <v>13</v>
      </c>
      <c r="H2" t="s">
        <v>14</v>
      </c>
    </row>
    <row r="3" spans="1:8" x14ac:dyDescent="0.25">
      <c r="A3" s="2" t="s">
        <v>15</v>
      </c>
      <c r="B3" s="5" t="s">
        <v>16</v>
      </c>
      <c r="C3" t="s">
        <v>17</v>
      </c>
      <c r="D3" t="s">
        <v>18</v>
      </c>
      <c r="E3" s="1">
        <f t="shared" ca="1" si="0"/>
        <v>20</v>
      </c>
      <c r="F3" t="s">
        <v>19</v>
      </c>
      <c r="G3" t="s">
        <v>20</v>
      </c>
      <c r="H3" t="s">
        <v>21</v>
      </c>
    </row>
    <row r="4" spans="1:8" x14ac:dyDescent="0.25">
      <c r="A4" s="2" t="s">
        <v>22</v>
      </c>
      <c r="B4" s="5" t="s">
        <v>23</v>
      </c>
      <c r="C4" t="s">
        <v>10</v>
      </c>
      <c r="D4" t="s">
        <v>24</v>
      </c>
      <c r="E4" s="1">
        <f t="shared" ca="1" si="0"/>
        <v>21</v>
      </c>
      <c r="F4" t="s">
        <v>12</v>
      </c>
      <c r="G4" t="s">
        <v>25</v>
      </c>
      <c r="H4" t="s">
        <v>26</v>
      </c>
    </row>
    <row r="5" spans="1:8" x14ac:dyDescent="0.25">
      <c r="A5" s="2" t="s">
        <v>27</v>
      </c>
      <c r="B5" s="5" t="s">
        <v>28</v>
      </c>
      <c r="C5" t="s">
        <v>17</v>
      </c>
      <c r="D5" t="s">
        <v>29</v>
      </c>
      <c r="E5" s="1">
        <f t="shared" ca="1" si="0"/>
        <v>22</v>
      </c>
      <c r="F5" t="s">
        <v>12</v>
      </c>
      <c r="G5" t="s">
        <v>30</v>
      </c>
      <c r="H5" t="s">
        <v>31</v>
      </c>
    </row>
    <row r="6" spans="1:8" x14ac:dyDescent="0.25">
      <c r="A6" s="2" t="s">
        <v>32</v>
      </c>
      <c r="B6" s="5" t="s">
        <v>33</v>
      </c>
      <c r="C6" t="s">
        <v>10</v>
      </c>
      <c r="D6" t="s">
        <v>34</v>
      </c>
      <c r="E6" s="1">
        <f t="shared" ca="1" si="0"/>
        <v>23</v>
      </c>
      <c r="F6" t="s">
        <v>19</v>
      </c>
      <c r="G6" t="s">
        <v>35</v>
      </c>
      <c r="H6" t="s">
        <v>36</v>
      </c>
    </row>
    <row r="7" spans="1:8" x14ac:dyDescent="0.25">
      <c r="A7" s="2" t="s">
        <v>37</v>
      </c>
      <c r="B7" s="5" t="s">
        <v>38</v>
      </c>
      <c r="C7" t="s">
        <v>17</v>
      </c>
      <c r="D7" t="s">
        <v>39</v>
      </c>
      <c r="E7" s="1">
        <f t="shared" ca="1" si="0"/>
        <v>19</v>
      </c>
      <c r="F7" t="s">
        <v>12</v>
      </c>
      <c r="G7" t="s">
        <v>40</v>
      </c>
      <c r="H7" t="s">
        <v>41</v>
      </c>
    </row>
    <row r="8" spans="1:8" x14ac:dyDescent="0.25">
      <c r="A8" s="2" t="s">
        <v>42</v>
      </c>
      <c r="B8" s="5" t="s">
        <v>43</v>
      </c>
      <c r="C8" t="s">
        <v>10</v>
      </c>
      <c r="D8" t="s">
        <v>44</v>
      </c>
      <c r="E8" s="1">
        <f t="shared" ca="1" si="0"/>
        <v>20</v>
      </c>
      <c r="F8" t="s">
        <v>12</v>
      </c>
      <c r="G8" t="s">
        <v>45</v>
      </c>
      <c r="H8" t="s">
        <v>46</v>
      </c>
    </row>
    <row r="9" spans="1:8" x14ac:dyDescent="0.25">
      <c r="A9" s="2" t="s">
        <v>47</v>
      </c>
      <c r="B9" s="5" t="s">
        <v>48</v>
      </c>
      <c r="C9" t="s">
        <v>17</v>
      </c>
      <c r="D9" t="s">
        <v>49</v>
      </c>
      <c r="E9" s="1">
        <f t="shared" ca="1" si="0"/>
        <v>21</v>
      </c>
      <c r="F9" t="s">
        <v>19</v>
      </c>
      <c r="G9" t="s">
        <v>50</v>
      </c>
      <c r="H9" t="s">
        <v>51</v>
      </c>
    </row>
    <row r="10" spans="1:8" x14ac:dyDescent="0.25">
      <c r="A10" s="2" t="s">
        <v>52</v>
      </c>
      <c r="B10" s="5" t="s">
        <v>53</v>
      </c>
      <c r="C10" t="s">
        <v>10</v>
      </c>
      <c r="D10" t="s">
        <v>54</v>
      </c>
      <c r="E10" s="1">
        <f t="shared" ca="1" si="0"/>
        <v>22</v>
      </c>
      <c r="F10" t="s">
        <v>12</v>
      </c>
      <c r="G10" t="s">
        <v>55</v>
      </c>
      <c r="H10" t="s">
        <v>56</v>
      </c>
    </row>
    <row r="11" spans="1:8" x14ac:dyDescent="0.25">
      <c r="A11" s="2" t="s">
        <v>57</v>
      </c>
      <c r="B11" s="5" t="s">
        <v>58</v>
      </c>
      <c r="C11" t="s">
        <v>17</v>
      </c>
      <c r="D11" t="s">
        <v>59</v>
      </c>
      <c r="E11" s="1">
        <f t="shared" ca="1" si="0"/>
        <v>24</v>
      </c>
      <c r="F11" t="s">
        <v>12</v>
      </c>
      <c r="G11" t="s">
        <v>60</v>
      </c>
      <c r="H11" t="s">
        <v>61</v>
      </c>
    </row>
    <row r="12" spans="1:8" x14ac:dyDescent="0.25">
      <c r="A12" s="2" t="s">
        <v>62</v>
      </c>
      <c r="B12" s="5" t="s">
        <v>63</v>
      </c>
      <c r="C12" t="s">
        <v>10</v>
      </c>
      <c r="D12" t="s">
        <v>64</v>
      </c>
      <c r="E12" s="1">
        <f t="shared" ca="1" si="0"/>
        <v>19</v>
      </c>
      <c r="F12" t="s">
        <v>19</v>
      </c>
      <c r="G12" t="s">
        <v>65</v>
      </c>
      <c r="H12" t="s">
        <v>66</v>
      </c>
    </row>
    <row r="13" spans="1:8" x14ac:dyDescent="0.25">
      <c r="A13" s="2" t="s">
        <v>67</v>
      </c>
      <c r="B13" s="5" t="s">
        <v>68</v>
      </c>
      <c r="C13" t="s">
        <v>17</v>
      </c>
      <c r="D13" t="s">
        <v>69</v>
      </c>
      <c r="E13" s="1">
        <f t="shared" ca="1" si="0"/>
        <v>20</v>
      </c>
      <c r="F13" t="s">
        <v>12</v>
      </c>
      <c r="G13" t="s">
        <v>70</v>
      </c>
      <c r="H13" t="s">
        <v>71</v>
      </c>
    </row>
    <row r="14" spans="1:8" x14ac:dyDescent="0.25">
      <c r="A14" s="2" t="s">
        <v>72</v>
      </c>
      <c r="B14" s="5" t="s">
        <v>73</v>
      </c>
      <c r="C14" t="s">
        <v>10</v>
      </c>
      <c r="D14" t="s">
        <v>74</v>
      </c>
      <c r="E14" s="1">
        <f t="shared" ca="1" si="0"/>
        <v>21</v>
      </c>
      <c r="F14" t="s">
        <v>12</v>
      </c>
      <c r="G14" t="s">
        <v>75</v>
      </c>
      <c r="H14" t="s">
        <v>76</v>
      </c>
    </row>
    <row r="15" spans="1:8" x14ac:dyDescent="0.25">
      <c r="A15" s="2" t="s">
        <v>77</v>
      </c>
      <c r="B15" s="5" t="s">
        <v>78</v>
      </c>
      <c r="C15" t="s">
        <v>17</v>
      </c>
      <c r="D15" t="s">
        <v>79</v>
      </c>
      <c r="E15" s="1">
        <f t="shared" ca="1" si="0"/>
        <v>22</v>
      </c>
      <c r="F15" t="s">
        <v>19</v>
      </c>
      <c r="G15" t="s">
        <v>80</v>
      </c>
      <c r="H15" t="s">
        <v>81</v>
      </c>
    </row>
    <row r="16" spans="1:8" x14ac:dyDescent="0.25">
      <c r="A16" s="2" t="s">
        <v>82</v>
      </c>
      <c r="B16" s="5" t="s">
        <v>83</v>
      </c>
      <c r="C16" t="s">
        <v>10</v>
      </c>
      <c r="D16" t="s">
        <v>84</v>
      </c>
      <c r="E16" s="1">
        <f t="shared" ca="1" si="0"/>
        <v>23</v>
      </c>
      <c r="F16" t="s">
        <v>12</v>
      </c>
      <c r="G16" t="s">
        <v>85</v>
      </c>
      <c r="H16" t="s">
        <v>86</v>
      </c>
    </row>
    <row r="17" spans="1:8" x14ac:dyDescent="0.25">
      <c r="A17" s="2" t="s">
        <v>87</v>
      </c>
      <c r="B17" s="5" t="s">
        <v>88</v>
      </c>
      <c r="C17" t="s">
        <v>17</v>
      </c>
      <c r="D17" t="s">
        <v>89</v>
      </c>
      <c r="E17" s="1">
        <f t="shared" ca="1" si="0"/>
        <v>19</v>
      </c>
      <c r="F17" t="s">
        <v>12</v>
      </c>
      <c r="G17" t="s">
        <v>90</v>
      </c>
      <c r="H17" t="s">
        <v>91</v>
      </c>
    </row>
    <row r="18" spans="1:8" x14ac:dyDescent="0.25">
      <c r="A18" s="2" t="s">
        <v>92</v>
      </c>
      <c r="B18" s="5" t="s">
        <v>93</v>
      </c>
      <c r="C18" t="s">
        <v>10</v>
      </c>
      <c r="D18" t="s">
        <v>94</v>
      </c>
      <c r="E18" s="1">
        <f t="shared" ca="1" si="0"/>
        <v>20</v>
      </c>
      <c r="F18" t="s">
        <v>19</v>
      </c>
      <c r="G18" t="s">
        <v>95</v>
      </c>
      <c r="H18" t="s">
        <v>96</v>
      </c>
    </row>
    <row r="19" spans="1:8" x14ac:dyDescent="0.25">
      <c r="A19" s="2" t="s">
        <v>97</v>
      </c>
      <c r="B19" s="5" t="s">
        <v>98</v>
      </c>
      <c r="C19" t="s">
        <v>17</v>
      </c>
      <c r="D19" t="s">
        <v>99</v>
      </c>
      <c r="E19" s="1">
        <f t="shared" ca="1" si="0"/>
        <v>21</v>
      </c>
      <c r="F19" t="s">
        <v>12</v>
      </c>
      <c r="G19" t="s">
        <v>100</v>
      </c>
      <c r="H19" t="s">
        <v>101</v>
      </c>
    </row>
    <row r="20" spans="1:8" x14ac:dyDescent="0.25">
      <c r="A20" s="2" t="s">
        <v>102</v>
      </c>
      <c r="B20" s="5" t="s">
        <v>103</v>
      </c>
      <c r="C20" t="s">
        <v>10</v>
      </c>
      <c r="D20" t="s">
        <v>104</v>
      </c>
      <c r="E20" s="1">
        <f t="shared" ca="1" si="0"/>
        <v>23</v>
      </c>
      <c r="F20" t="s">
        <v>12</v>
      </c>
      <c r="G20" t="s">
        <v>105</v>
      </c>
      <c r="H20" t="s">
        <v>106</v>
      </c>
    </row>
    <row r="21" spans="1:8" x14ac:dyDescent="0.25">
      <c r="A21" s="2" t="s">
        <v>107</v>
      </c>
      <c r="B21" s="5" t="s">
        <v>108</v>
      </c>
      <c r="C21" t="s">
        <v>17</v>
      </c>
      <c r="D21" t="s">
        <v>109</v>
      </c>
      <c r="E21" s="1">
        <f t="shared" ca="1" si="0"/>
        <v>23</v>
      </c>
      <c r="F21" t="s">
        <v>19</v>
      </c>
      <c r="G21" t="s">
        <v>110</v>
      </c>
      <c r="H21" t="s">
        <v>111</v>
      </c>
    </row>
    <row r="22" spans="1:8" x14ac:dyDescent="0.25">
      <c r="A22" s="2" t="s">
        <v>112</v>
      </c>
      <c r="B22" s="5" t="s">
        <v>113</v>
      </c>
      <c r="C22" t="s">
        <v>10</v>
      </c>
      <c r="D22" t="s">
        <v>114</v>
      </c>
      <c r="E22" s="1">
        <f t="shared" ca="1" si="0"/>
        <v>19</v>
      </c>
      <c r="F22" t="s">
        <v>12</v>
      </c>
      <c r="G22" t="s">
        <v>115</v>
      </c>
      <c r="H22" t="s">
        <v>116</v>
      </c>
    </row>
    <row r="23" spans="1:8" x14ac:dyDescent="0.25">
      <c r="A23" s="2" t="s">
        <v>117</v>
      </c>
      <c r="B23" s="5" t="s">
        <v>118</v>
      </c>
      <c r="C23" t="s">
        <v>17</v>
      </c>
      <c r="D23" t="s">
        <v>119</v>
      </c>
      <c r="E23" s="1">
        <f t="shared" ca="1" si="0"/>
        <v>20</v>
      </c>
      <c r="F23" t="s">
        <v>12</v>
      </c>
      <c r="G23" t="s">
        <v>120</v>
      </c>
      <c r="H23" t="s">
        <v>121</v>
      </c>
    </row>
    <row r="24" spans="1:8" x14ac:dyDescent="0.25">
      <c r="A24" s="2" t="s">
        <v>122</v>
      </c>
      <c r="B24" s="5" t="s">
        <v>123</v>
      </c>
      <c r="C24" t="s">
        <v>10</v>
      </c>
      <c r="D24" t="s">
        <v>124</v>
      </c>
      <c r="E24" s="1">
        <f t="shared" ca="1" si="0"/>
        <v>21</v>
      </c>
      <c r="F24" t="s">
        <v>19</v>
      </c>
      <c r="G24" t="s">
        <v>125</v>
      </c>
      <c r="H24" t="s">
        <v>126</v>
      </c>
    </row>
    <row r="25" spans="1:8" x14ac:dyDescent="0.25">
      <c r="A25" s="2" t="s">
        <v>127</v>
      </c>
      <c r="B25" s="5" t="s">
        <v>128</v>
      </c>
      <c r="C25" t="s">
        <v>17</v>
      </c>
      <c r="D25" t="s">
        <v>129</v>
      </c>
      <c r="E25" s="1">
        <f t="shared" ca="1" si="0"/>
        <v>22</v>
      </c>
      <c r="F25" t="s">
        <v>12</v>
      </c>
      <c r="G25" t="s">
        <v>130</v>
      </c>
      <c r="H25" t="s">
        <v>131</v>
      </c>
    </row>
    <row r="26" spans="1:8" x14ac:dyDescent="0.25">
      <c r="A26" s="2" t="s">
        <v>132</v>
      </c>
      <c r="B26" s="5" t="s">
        <v>133</v>
      </c>
      <c r="C26" t="s">
        <v>10</v>
      </c>
      <c r="D26" t="s">
        <v>134</v>
      </c>
      <c r="E26" s="1">
        <f t="shared" ca="1" si="0"/>
        <v>23</v>
      </c>
      <c r="F26" t="s">
        <v>12</v>
      </c>
      <c r="G26" t="s">
        <v>135</v>
      </c>
      <c r="H26" t="s">
        <v>136</v>
      </c>
    </row>
    <row r="27" spans="1:8" x14ac:dyDescent="0.25">
      <c r="A27" s="2" t="s">
        <v>137</v>
      </c>
      <c r="B27" s="5" t="s">
        <v>138</v>
      </c>
      <c r="C27" t="s">
        <v>17</v>
      </c>
      <c r="D27" t="s">
        <v>139</v>
      </c>
      <c r="E27" s="1">
        <f t="shared" ca="1" si="0"/>
        <v>19</v>
      </c>
      <c r="F27" t="s">
        <v>19</v>
      </c>
      <c r="G27" t="s">
        <v>140</v>
      </c>
      <c r="H27" t="s">
        <v>141</v>
      </c>
    </row>
    <row r="28" spans="1:8" x14ac:dyDescent="0.25">
      <c r="A28" s="2" t="s">
        <v>142</v>
      </c>
      <c r="B28" s="5" t="s">
        <v>143</v>
      </c>
      <c r="C28" t="s">
        <v>10</v>
      </c>
      <c r="D28" t="s">
        <v>144</v>
      </c>
      <c r="E28" s="1">
        <f t="shared" ca="1" si="0"/>
        <v>20</v>
      </c>
      <c r="F28" t="s">
        <v>12</v>
      </c>
      <c r="G28" t="s">
        <v>145</v>
      </c>
      <c r="H28" t="s">
        <v>146</v>
      </c>
    </row>
    <row r="29" spans="1:8" x14ac:dyDescent="0.25">
      <c r="A29" s="2" t="s">
        <v>147</v>
      </c>
      <c r="B29" s="5" t="s">
        <v>148</v>
      </c>
      <c r="C29" t="s">
        <v>17</v>
      </c>
      <c r="D29" t="s">
        <v>149</v>
      </c>
      <c r="E29" s="1">
        <f t="shared" ca="1" si="0"/>
        <v>22</v>
      </c>
      <c r="F29" t="s">
        <v>12</v>
      </c>
      <c r="G29" t="s">
        <v>150</v>
      </c>
      <c r="H29" t="s">
        <v>151</v>
      </c>
    </row>
    <row r="30" spans="1:8" x14ac:dyDescent="0.25">
      <c r="A30" s="2" t="s">
        <v>152</v>
      </c>
      <c r="B30" s="5" t="s">
        <v>153</v>
      </c>
      <c r="C30" t="s">
        <v>10</v>
      </c>
      <c r="D30" t="s">
        <v>154</v>
      </c>
      <c r="E30" s="1">
        <f t="shared" ca="1" si="0"/>
        <v>22</v>
      </c>
      <c r="F30" t="s">
        <v>19</v>
      </c>
      <c r="G30" t="s">
        <v>155</v>
      </c>
      <c r="H30" t="s">
        <v>156</v>
      </c>
    </row>
    <row r="31" spans="1:8" x14ac:dyDescent="0.25">
      <c r="A31" s="2" t="s">
        <v>157</v>
      </c>
      <c r="B31" s="5" t="s">
        <v>158</v>
      </c>
      <c r="C31" t="s">
        <v>17</v>
      </c>
      <c r="D31" t="s">
        <v>159</v>
      </c>
      <c r="E31" s="1">
        <f t="shared" ca="1" si="0"/>
        <v>23</v>
      </c>
      <c r="F31" t="s">
        <v>12</v>
      </c>
      <c r="G31" t="s">
        <v>160</v>
      </c>
      <c r="H31" t="s">
        <v>161</v>
      </c>
    </row>
    <row r="32" spans="1:8" x14ac:dyDescent="0.25">
      <c r="A32" s="2" t="s">
        <v>162</v>
      </c>
      <c r="B32" s="5" t="s">
        <v>163</v>
      </c>
      <c r="C32" t="s">
        <v>10</v>
      </c>
      <c r="D32" t="s">
        <v>164</v>
      </c>
      <c r="E32" s="1">
        <f t="shared" ca="1" si="0"/>
        <v>19</v>
      </c>
      <c r="F32" t="s">
        <v>12</v>
      </c>
      <c r="G32" t="s">
        <v>165</v>
      </c>
      <c r="H32" t="s">
        <v>166</v>
      </c>
    </row>
    <row r="33" spans="1:8" x14ac:dyDescent="0.25">
      <c r="A33" s="2" t="s">
        <v>167</v>
      </c>
      <c r="B33" s="5" t="s">
        <v>168</v>
      </c>
      <c r="C33" t="s">
        <v>17</v>
      </c>
      <c r="D33" t="s">
        <v>169</v>
      </c>
      <c r="E33" s="1">
        <f t="shared" ca="1" si="0"/>
        <v>20</v>
      </c>
      <c r="F33" t="s">
        <v>19</v>
      </c>
      <c r="G33" t="s">
        <v>170</v>
      </c>
      <c r="H33" t="s">
        <v>171</v>
      </c>
    </row>
    <row r="34" spans="1:8" x14ac:dyDescent="0.25">
      <c r="A34" s="2" t="s">
        <v>172</v>
      </c>
      <c r="B34" s="5" t="s">
        <v>173</v>
      </c>
      <c r="C34" t="s">
        <v>10</v>
      </c>
      <c r="D34" t="s">
        <v>174</v>
      </c>
      <c r="E34" s="1">
        <f t="shared" ref="E34:E65" ca="1" si="1">IF(D34="","",DATEDIF(D34,TODAY(),"Y"))</f>
        <v>21</v>
      </c>
      <c r="F34" t="s">
        <v>12</v>
      </c>
      <c r="G34" t="s">
        <v>175</v>
      </c>
      <c r="H34" t="s">
        <v>176</v>
      </c>
    </row>
    <row r="35" spans="1:8" x14ac:dyDescent="0.25">
      <c r="A35" s="2" t="s">
        <v>177</v>
      </c>
      <c r="B35" s="5" t="s">
        <v>178</v>
      </c>
      <c r="C35" t="s">
        <v>17</v>
      </c>
      <c r="D35" t="s">
        <v>179</v>
      </c>
      <c r="E35" s="1">
        <f t="shared" ca="1" si="1"/>
        <v>22</v>
      </c>
      <c r="F35" t="s">
        <v>12</v>
      </c>
      <c r="G35" t="s">
        <v>180</v>
      </c>
      <c r="H35" t="s">
        <v>181</v>
      </c>
    </row>
    <row r="36" spans="1:8" x14ac:dyDescent="0.25">
      <c r="A36" s="2" t="s">
        <v>182</v>
      </c>
      <c r="B36" s="5" t="s">
        <v>183</v>
      </c>
      <c r="C36" t="s">
        <v>10</v>
      </c>
      <c r="D36" t="s">
        <v>184</v>
      </c>
      <c r="E36" s="1">
        <f t="shared" ca="1" si="1"/>
        <v>23</v>
      </c>
      <c r="F36" t="s">
        <v>19</v>
      </c>
      <c r="G36" t="s">
        <v>185</v>
      </c>
      <c r="H36" t="s">
        <v>186</v>
      </c>
    </row>
    <row r="37" spans="1:8" x14ac:dyDescent="0.25">
      <c r="A37" s="2" t="s">
        <v>187</v>
      </c>
      <c r="B37" s="5" t="s">
        <v>188</v>
      </c>
      <c r="C37" t="s">
        <v>17</v>
      </c>
      <c r="D37" t="s">
        <v>189</v>
      </c>
      <c r="E37" s="1">
        <f t="shared" ca="1" si="1"/>
        <v>19</v>
      </c>
      <c r="F37" t="s">
        <v>12</v>
      </c>
      <c r="G37" t="s">
        <v>190</v>
      </c>
      <c r="H37" t="s">
        <v>191</v>
      </c>
    </row>
    <row r="38" spans="1:8" x14ac:dyDescent="0.25">
      <c r="A38" s="2" t="s">
        <v>192</v>
      </c>
      <c r="B38" s="5" t="s">
        <v>193</v>
      </c>
      <c r="C38" t="s">
        <v>10</v>
      </c>
      <c r="D38" t="s">
        <v>194</v>
      </c>
      <c r="E38" s="1">
        <f t="shared" ca="1" si="1"/>
        <v>21</v>
      </c>
      <c r="F38" t="s">
        <v>12</v>
      </c>
      <c r="G38" t="s">
        <v>195</v>
      </c>
      <c r="H38" t="s">
        <v>196</v>
      </c>
    </row>
    <row r="39" spans="1:8" x14ac:dyDescent="0.25">
      <c r="A39" s="2" t="s">
        <v>197</v>
      </c>
      <c r="B39" s="5" t="s">
        <v>198</v>
      </c>
      <c r="C39" t="s">
        <v>17</v>
      </c>
      <c r="D39" t="s">
        <v>199</v>
      </c>
      <c r="E39" s="1">
        <f t="shared" ca="1" si="1"/>
        <v>21</v>
      </c>
      <c r="F39" t="s">
        <v>19</v>
      </c>
      <c r="G39" t="s">
        <v>200</v>
      </c>
      <c r="H39" t="s">
        <v>201</v>
      </c>
    </row>
    <row r="40" spans="1:8" x14ac:dyDescent="0.25">
      <c r="A40" s="2" t="s">
        <v>202</v>
      </c>
      <c r="B40" s="5" t="s">
        <v>203</v>
      </c>
      <c r="C40" t="s">
        <v>10</v>
      </c>
      <c r="D40" t="s">
        <v>204</v>
      </c>
      <c r="E40" s="1">
        <f t="shared" ca="1" si="1"/>
        <v>22</v>
      </c>
      <c r="F40" t="s">
        <v>12</v>
      </c>
      <c r="G40" t="s">
        <v>205</v>
      </c>
      <c r="H40" t="s">
        <v>206</v>
      </c>
    </row>
    <row r="41" spans="1:8" x14ac:dyDescent="0.25">
      <c r="A41" s="2" t="s">
        <v>207</v>
      </c>
      <c r="B41" s="5" t="s">
        <v>208</v>
      </c>
      <c r="C41" t="s">
        <v>17</v>
      </c>
      <c r="D41" t="s">
        <v>209</v>
      </c>
      <c r="E41" s="1">
        <f t="shared" ca="1" si="1"/>
        <v>23</v>
      </c>
      <c r="F41" t="s">
        <v>12</v>
      </c>
      <c r="G41" t="s">
        <v>210</v>
      </c>
      <c r="H41" t="s">
        <v>211</v>
      </c>
    </row>
    <row r="42" spans="1:8" x14ac:dyDescent="0.25">
      <c r="A42" s="2" t="s">
        <v>212</v>
      </c>
      <c r="B42" s="5" t="s">
        <v>213</v>
      </c>
      <c r="C42" t="s">
        <v>10</v>
      </c>
      <c r="D42" t="s">
        <v>214</v>
      </c>
      <c r="E42" s="1">
        <f t="shared" ca="1" si="1"/>
        <v>19</v>
      </c>
      <c r="F42" t="s">
        <v>19</v>
      </c>
      <c r="G42" t="s">
        <v>215</v>
      </c>
      <c r="H42" t="s">
        <v>216</v>
      </c>
    </row>
    <row r="43" spans="1:8" x14ac:dyDescent="0.25">
      <c r="A43" s="2" t="s">
        <v>217</v>
      </c>
      <c r="B43" s="5" t="s">
        <v>218</v>
      </c>
      <c r="C43" t="s">
        <v>17</v>
      </c>
      <c r="D43" t="s">
        <v>219</v>
      </c>
      <c r="E43" s="1">
        <f t="shared" ca="1" si="1"/>
        <v>20</v>
      </c>
      <c r="F43" t="s">
        <v>12</v>
      </c>
      <c r="G43" t="s">
        <v>220</v>
      </c>
      <c r="H43" t="s">
        <v>221</v>
      </c>
    </row>
    <row r="44" spans="1:8" x14ac:dyDescent="0.25">
      <c r="A44" s="2" t="s">
        <v>222</v>
      </c>
      <c r="B44" s="5" t="s">
        <v>223</v>
      </c>
      <c r="C44" t="s">
        <v>10</v>
      </c>
      <c r="D44" t="s">
        <v>224</v>
      </c>
      <c r="E44" s="1">
        <f t="shared" ca="1" si="1"/>
        <v>21</v>
      </c>
      <c r="F44" t="s">
        <v>12</v>
      </c>
      <c r="G44" t="s">
        <v>225</v>
      </c>
      <c r="H44" t="s">
        <v>226</v>
      </c>
    </row>
    <row r="45" spans="1:8" x14ac:dyDescent="0.25">
      <c r="A45" s="2" t="s">
        <v>227</v>
      </c>
      <c r="B45" s="5" t="s">
        <v>228</v>
      </c>
      <c r="C45" t="s">
        <v>17</v>
      </c>
      <c r="D45" t="s">
        <v>229</v>
      </c>
      <c r="E45" s="1">
        <f t="shared" ca="1" si="1"/>
        <v>22</v>
      </c>
      <c r="F45" t="s">
        <v>19</v>
      </c>
      <c r="G45" t="s">
        <v>230</v>
      </c>
      <c r="H45" t="s">
        <v>231</v>
      </c>
    </row>
    <row r="46" spans="1:8" x14ac:dyDescent="0.25">
      <c r="A46" s="2" t="s">
        <v>232</v>
      </c>
      <c r="B46" s="5" t="s">
        <v>233</v>
      </c>
      <c r="C46" t="s">
        <v>10</v>
      </c>
      <c r="D46" t="s">
        <v>234</v>
      </c>
      <c r="E46" s="1">
        <f t="shared" ca="1" si="1"/>
        <v>23</v>
      </c>
      <c r="F46" t="s">
        <v>12</v>
      </c>
      <c r="G46" t="s">
        <v>235</v>
      </c>
      <c r="H46" t="s">
        <v>236</v>
      </c>
    </row>
    <row r="47" spans="1:8" x14ac:dyDescent="0.25">
      <c r="A47" s="2" t="s">
        <v>237</v>
      </c>
      <c r="B47" s="5" t="s">
        <v>238</v>
      </c>
      <c r="C47" t="s">
        <v>17</v>
      </c>
      <c r="D47" t="s">
        <v>239</v>
      </c>
      <c r="E47" s="1">
        <f t="shared" ca="1" si="1"/>
        <v>20</v>
      </c>
      <c r="F47" t="s">
        <v>12</v>
      </c>
      <c r="G47" t="s">
        <v>240</v>
      </c>
      <c r="H47" t="s">
        <v>241</v>
      </c>
    </row>
    <row r="48" spans="1:8" x14ac:dyDescent="0.25">
      <c r="A48" s="2" t="s">
        <v>242</v>
      </c>
      <c r="B48" s="5" t="s">
        <v>243</v>
      </c>
      <c r="C48" t="s">
        <v>10</v>
      </c>
      <c r="D48" t="s">
        <v>244</v>
      </c>
      <c r="E48" s="1">
        <f t="shared" ca="1" si="1"/>
        <v>20</v>
      </c>
      <c r="F48" t="s">
        <v>19</v>
      </c>
      <c r="G48" t="s">
        <v>245</v>
      </c>
      <c r="H48" t="s">
        <v>246</v>
      </c>
    </row>
    <row r="49" spans="1:8" x14ac:dyDescent="0.25">
      <c r="A49" s="2" t="s">
        <v>247</v>
      </c>
      <c r="B49" s="5" t="s">
        <v>248</v>
      </c>
      <c r="C49" t="s">
        <v>17</v>
      </c>
      <c r="D49" t="s">
        <v>249</v>
      </c>
      <c r="E49" s="1">
        <f t="shared" ca="1" si="1"/>
        <v>21</v>
      </c>
      <c r="F49" t="s">
        <v>12</v>
      </c>
      <c r="G49" t="s">
        <v>250</v>
      </c>
      <c r="H49" t="s">
        <v>251</v>
      </c>
    </row>
    <row r="50" spans="1:8" x14ac:dyDescent="0.25">
      <c r="A50" s="2" t="s">
        <v>252</v>
      </c>
      <c r="B50" s="5" t="s">
        <v>253</v>
      </c>
      <c r="C50" t="s">
        <v>10</v>
      </c>
      <c r="D50" t="s">
        <v>254</v>
      </c>
      <c r="E50" s="1">
        <f t="shared" ca="1" si="1"/>
        <v>22</v>
      </c>
      <c r="F50" t="s">
        <v>12</v>
      </c>
      <c r="G50" t="s">
        <v>255</v>
      </c>
      <c r="H50" t="s">
        <v>256</v>
      </c>
    </row>
    <row r="51" spans="1:8" x14ac:dyDescent="0.25">
      <c r="A51" s="2" t="s">
        <v>257</v>
      </c>
      <c r="B51" s="5" t="s">
        <v>258</v>
      </c>
      <c r="C51" t="s">
        <v>17</v>
      </c>
      <c r="D51" t="s">
        <v>259</v>
      </c>
      <c r="E51" s="1">
        <f t="shared" ca="1" si="1"/>
        <v>23</v>
      </c>
      <c r="F51" t="s">
        <v>19</v>
      </c>
      <c r="G51" t="s">
        <v>260</v>
      </c>
      <c r="H51" t="s">
        <v>261</v>
      </c>
    </row>
    <row r="52" spans="1:8" x14ac:dyDescent="0.25">
      <c r="B52" s="5"/>
    </row>
  </sheetData>
  <phoneticPr fontId="1" type="noConversion"/>
  <dataValidations count="1">
    <dataValidation type="list" allowBlank="1" sqref="C91:C5000 C2:C52" xr:uid="{00000000-0002-0000-0000-000000000000}">
      <formula1>"Male,Female"</formula1>
    </dataValidation>
  </dataValidations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7"/>
  <sheetViews>
    <sheetView tabSelected="1" topLeftCell="A427" zoomScaleNormal="100" workbookViewId="0">
      <selection activeCell="H451" sqref="H451"/>
    </sheetView>
  </sheetViews>
  <sheetFormatPr defaultRowHeight="15" x14ac:dyDescent="0.25"/>
  <cols>
    <col min="1" max="1" width="16.85546875" bestFit="1" customWidth="1"/>
    <col min="2" max="2" width="24.85546875" bestFit="1" customWidth="1"/>
    <col min="3" max="3" width="9.140625" bestFit="1" customWidth="1"/>
    <col min="4" max="4" width="11" bestFit="1" customWidth="1"/>
    <col min="5" max="5" width="10.28515625" bestFit="1" customWidth="1"/>
    <col min="6" max="6" width="8.140625" bestFit="1" customWidth="1"/>
    <col min="7" max="7" width="10.28515625" bestFit="1" customWidth="1"/>
    <col min="8" max="8" width="7.140625" bestFit="1" customWidth="1"/>
    <col min="9" max="9" width="10.42578125" bestFit="1" customWidth="1"/>
    <col min="10" max="10" width="9.7109375" bestFit="1" customWidth="1"/>
    <col min="11" max="11" width="11.5703125" bestFit="1" customWidth="1"/>
    <col min="13" max="13" width="13" customWidth="1"/>
    <col min="14" max="14" width="11.5703125" bestFit="1" customWidth="1"/>
    <col min="15" max="15" width="11" customWidth="1"/>
  </cols>
  <sheetData>
    <row r="1" spans="1:11" x14ac:dyDescent="0.25">
      <c r="A1" s="10" t="s">
        <v>286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s="6" t="s">
        <v>283</v>
      </c>
      <c r="H1" s="6" t="s">
        <v>267</v>
      </c>
      <c r="I1" t="s">
        <v>284</v>
      </c>
      <c r="J1" t="s">
        <v>287</v>
      </c>
      <c r="K1" t="s">
        <v>268</v>
      </c>
    </row>
    <row r="2" spans="1:11" x14ac:dyDescent="0.25">
      <c r="A2" s="5" t="str">
        <f>IFERROR(Students!B13, "Student Not Found")</f>
        <v>Alex Aquino</v>
      </c>
      <c r="B2" t="s">
        <v>281</v>
      </c>
      <c r="C2">
        <v>75</v>
      </c>
      <c r="D2">
        <v>70</v>
      </c>
      <c r="E2">
        <v>70</v>
      </c>
      <c r="F2">
        <v>70</v>
      </c>
      <c r="G2" s="9">
        <f t="shared" ref="G2:G8" si="0">AVERAGE(C2:F2)</f>
        <v>71.25</v>
      </c>
      <c r="H2" s="9">
        <f>IF(G2&gt;=96,1,IF(G2&gt;=94,1.25,IF(G2&gt;=91,1.5,IF(G2&gt;=89,1.75,IF(G2&gt;=86,2,IF(G2&gt;=83,2.25,IF(G2&gt;=80,2.5,IF(G2&gt;=77,2.75,IF(G2&gt;=75,3,5)))))))))</f>
        <v>5</v>
      </c>
      <c r="I2" t="str">
        <f t="shared" ref="I2:I8" si="1">IF(H2&lt;=3,"PASSED","FAILED")</f>
        <v>FAILED</v>
      </c>
      <c r="J2" t="s">
        <v>270</v>
      </c>
      <c r="K2" t="s">
        <v>271</v>
      </c>
    </row>
    <row r="3" spans="1:11" x14ac:dyDescent="0.25">
      <c r="A3" s="5" t="s">
        <v>68</v>
      </c>
      <c r="B3" t="s">
        <v>269</v>
      </c>
      <c r="C3">
        <v>85</v>
      </c>
      <c r="D3">
        <v>98</v>
      </c>
      <c r="E3">
        <v>77</v>
      </c>
      <c r="F3">
        <v>86</v>
      </c>
      <c r="G3" s="9">
        <f t="shared" si="0"/>
        <v>86.5</v>
      </c>
      <c r="H3" s="9">
        <f t="shared" ref="H3:H66" si="2">IF(G3&gt;=96,1,IF(G3&gt;=94,1.25,IF(G3&gt;=91,1.5,IF(G3&gt;=89,1.75,IF(G3&gt;=86,2,IF(G3&gt;=83,2.25,IF(G3&gt;=80,2.5,IF(G3&gt;=77,2.75,IF(G3&gt;=75,3,5)))))))))</f>
        <v>2</v>
      </c>
      <c r="I3" t="str">
        <f t="shared" si="1"/>
        <v>PASSED</v>
      </c>
      <c r="J3" t="s">
        <v>270</v>
      </c>
      <c r="K3" t="s">
        <v>271</v>
      </c>
    </row>
    <row r="4" spans="1:11" x14ac:dyDescent="0.25">
      <c r="A4" s="5" t="s">
        <v>68</v>
      </c>
      <c r="B4" t="s">
        <v>272</v>
      </c>
      <c r="C4">
        <v>97</v>
      </c>
      <c r="D4">
        <v>98</v>
      </c>
      <c r="E4">
        <v>96</v>
      </c>
      <c r="F4">
        <v>78</v>
      </c>
      <c r="G4" s="9">
        <f t="shared" si="0"/>
        <v>92.25</v>
      </c>
      <c r="H4" s="9">
        <f t="shared" si="2"/>
        <v>1.5</v>
      </c>
      <c r="I4" t="str">
        <f t="shared" si="1"/>
        <v>PASSED</v>
      </c>
      <c r="J4" t="s">
        <v>270</v>
      </c>
      <c r="K4" t="s">
        <v>274</v>
      </c>
    </row>
    <row r="5" spans="1:11" x14ac:dyDescent="0.25">
      <c r="A5" s="5" t="s">
        <v>68</v>
      </c>
      <c r="B5" t="s">
        <v>280</v>
      </c>
      <c r="C5">
        <v>79</v>
      </c>
      <c r="D5">
        <v>81</v>
      </c>
      <c r="E5">
        <v>76</v>
      </c>
      <c r="F5">
        <v>98</v>
      </c>
      <c r="G5" s="9">
        <f t="shared" si="0"/>
        <v>83.5</v>
      </c>
      <c r="H5" s="9">
        <f t="shared" si="2"/>
        <v>2.25</v>
      </c>
      <c r="I5" t="str">
        <f t="shared" si="1"/>
        <v>PASSED</v>
      </c>
      <c r="J5" t="s">
        <v>279</v>
      </c>
      <c r="K5" t="s">
        <v>271</v>
      </c>
    </row>
    <row r="6" spans="1:11" x14ac:dyDescent="0.25">
      <c r="A6" s="5" t="s">
        <v>68</v>
      </c>
      <c r="B6" t="s">
        <v>282</v>
      </c>
      <c r="C6">
        <v>80</v>
      </c>
      <c r="D6">
        <v>90</v>
      </c>
      <c r="E6">
        <v>93</v>
      </c>
      <c r="F6">
        <v>96</v>
      </c>
      <c r="G6" s="9">
        <f t="shared" si="0"/>
        <v>89.75</v>
      </c>
      <c r="H6" s="9">
        <f t="shared" si="2"/>
        <v>1.75</v>
      </c>
      <c r="I6" t="str">
        <f t="shared" si="1"/>
        <v>PASSED</v>
      </c>
      <c r="J6" t="s">
        <v>270</v>
      </c>
      <c r="K6" t="s">
        <v>271</v>
      </c>
    </row>
    <row r="7" spans="1:11" x14ac:dyDescent="0.25">
      <c r="A7" s="5" t="s">
        <v>68</v>
      </c>
      <c r="B7" t="s">
        <v>278</v>
      </c>
      <c r="C7">
        <v>91</v>
      </c>
      <c r="D7">
        <v>86</v>
      </c>
      <c r="E7">
        <v>92</v>
      </c>
      <c r="F7">
        <v>89</v>
      </c>
      <c r="G7" s="9">
        <f t="shared" si="0"/>
        <v>89.5</v>
      </c>
      <c r="H7" s="9">
        <f>IF(G7&gt;=96,1,IF(G7&gt;=94,1.25,IF(G7&gt;=91,1.5,IF(G7&gt;=89,1.75,IF(G7&gt;=86,2,IF(G7&gt;=83,2.25,IF(G7&gt;=80,2.5,IF(G7&gt;=77,2.75,IF(G7&gt;=75,3,5)))))))))</f>
        <v>1.75</v>
      </c>
      <c r="I7" t="str">
        <f t="shared" si="1"/>
        <v>PASSED</v>
      </c>
      <c r="J7" t="s">
        <v>270</v>
      </c>
      <c r="K7" t="s">
        <v>271</v>
      </c>
    </row>
    <row r="8" spans="1:11" x14ac:dyDescent="0.25">
      <c r="A8" s="5" t="s">
        <v>68</v>
      </c>
      <c r="B8" t="s">
        <v>277</v>
      </c>
      <c r="C8">
        <v>82</v>
      </c>
      <c r="D8">
        <v>76</v>
      </c>
      <c r="E8">
        <v>80</v>
      </c>
      <c r="F8">
        <v>80</v>
      </c>
      <c r="G8" s="9">
        <f t="shared" si="0"/>
        <v>79.5</v>
      </c>
      <c r="H8" s="9">
        <f t="shared" si="2"/>
        <v>2.75</v>
      </c>
      <c r="I8" t="str">
        <f t="shared" si="1"/>
        <v>PASSED</v>
      </c>
      <c r="J8" t="s">
        <v>276</v>
      </c>
      <c r="K8" t="s">
        <v>274</v>
      </c>
    </row>
    <row r="9" spans="1:11" x14ac:dyDescent="0.25">
      <c r="A9" s="5" t="s">
        <v>68</v>
      </c>
      <c r="B9" t="s">
        <v>273</v>
      </c>
      <c r="C9">
        <v>89</v>
      </c>
      <c r="D9">
        <v>85</v>
      </c>
      <c r="E9">
        <v>78</v>
      </c>
      <c r="F9">
        <v>94</v>
      </c>
      <c r="G9" s="9">
        <v>86.5</v>
      </c>
      <c r="H9" s="9">
        <f t="shared" si="2"/>
        <v>2</v>
      </c>
      <c r="I9" t="s">
        <v>285</v>
      </c>
      <c r="J9" t="s">
        <v>270</v>
      </c>
      <c r="K9" t="s">
        <v>271</v>
      </c>
    </row>
    <row r="10" spans="1:11" x14ac:dyDescent="0.25">
      <c r="A10" s="5" t="s">
        <v>68</v>
      </c>
      <c r="B10" t="s">
        <v>275</v>
      </c>
      <c r="C10">
        <v>89</v>
      </c>
      <c r="D10">
        <v>85</v>
      </c>
      <c r="E10">
        <v>78</v>
      </c>
      <c r="F10">
        <v>94</v>
      </c>
      <c r="G10" s="9">
        <v>86.5</v>
      </c>
      <c r="H10" s="9">
        <f t="shared" si="2"/>
        <v>2</v>
      </c>
      <c r="I10" t="s">
        <v>285</v>
      </c>
      <c r="J10" t="s">
        <v>270</v>
      </c>
      <c r="K10" t="s">
        <v>271</v>
      </c>
    </row>
    <row r="11" spans="1:11" x14ac:dyDescent="0.25">
      <c r="A11" s="5" t="str">
        <f>IFERROR(Students!B15, "Student Not Found")</f>
        <v>Alex Castro</v>
      </c>
      <c r="B11" t="s">
        <v>281</v>
      </c>
      <c r="C11">
        <v>81</v>
      </c>
      <c r="D11">
        <v>88</v>
      </c>
      <c r="E11">
        <v>79</v>
      </c>
      <c r="F11">
        <v>90</v>
      </c>
      <c r="G11" s="9">
        <f t="shared" ref="G11:G17" si="3">AVERAGE(C11:F11)</f>
        <v>84.5</v>
      </c>
      <c r="H11" s="9">
        <f t="shared" si="2"/>
        <v>2.25</v>
      </c>
      <c r="I11" t="str">
        <f t="shared" ref="I11:I17" si="4">IF(H11&lt;=3,"PASSED","FAILED")</f>
        <v>PASSED</v>
      </c>
      <c r="J11" t="s">
        <v>270</v>
      </c>
      <c r="K11" t="s">
        <v>274</v>
      </c>
    </row>
    <row r="12" spans="1:11" x14ac:dyDescent="0.25">
      <c r="A12" s="5" t="s">
        <v>78</v>
      </c>
      <c r="B12" t="s">
        <v>269</v>
      </c>
      <c r="C12">
        <v>75</v>
      </c>
      <c r="D12">
        <v>76</v>
      </c>
      <c r="E12">
        <v>94</v>
      </c>
      <c r="F12">
        <v>80</v>
      </c>
      <c r="G12" s="9">
        <f t="shared" si="3"/>
        <v>81.25</v>
      </c>
      <c r="H12" s="9">
        <f t="shared" si="2"/>
        <v>2.5</v>
      </c>
      <c r="I12" t="str">
        <f t="shared" si="4"/>
        <v>PASSED</v>
      </c>
      <c r="J12" t="s">
        <v>270</v>
      </c>
      <c r="K12" t="s">
        <v>271</v>
      </c>
    </row>
    <row r="13" spans="1:11" x14ac:dyDescent="0.25">
      <c r="A13" s="5" t="s">
        <v>78</v>
      </c>
      <c r="B13" t="s">
        <v>272</v>
      </c>
      <c r="C13">
        <v>86</v>
      </c>
      <c r="D13">
        <v>88</v>
      </c>
      <c r="E13">
        <v>82</v>
      </c>
      <c r="F13">
        <v>80</v>
      </c>
      <c r="G13" s="9">
        <f t="shared" si="3"/>
        <v>84</v>
      </c>
      <c r="H13" s="9">
        <f t="shared" si="2"/>
        <v>2.25</v>
      </c>
      <c r="I13" t="str">
        <f t="shared" si="4"/>
        <v>PASSED</v>
      </c>
      <c r="J13" t="s">
        <v>270</v>
      </c>
      <c r="K13" t="s">
        <v>274</v>
      </c>
    </row>
    <row r="14" spans="1:11" x14ac:dyDescent="0.25">
      <c r="A14" s="5" t="s">
        <v>78</v>
      </c>
      <c r="B14" t="s">
        <v>280</v>
      </c>
      <c r="C14">
        <v>87</v>
      </c>
      <c r="D14">
        <v>98</v>
      </c>
      <c r="E14">
        <v>86</v>
      </c>
      <c r="F14">
        <v>91</v>
      </c>
      <c r="G14" s="9">
        <f t="shared" si="3"/>
        <v>90.5</v>
      </c>
      <c r="H14" s="9">
        <f t="shared" si="2"/>
        <v>1.75</v>
      </c>
      <c r="I14" t="str">
        <f t="shared" si="4"/>
        <v>PASSED</v>
      </c>
      <c r="J14" t="s">
        <v>270</v>
      </c>
      <c r="K14" t="s">
        <v>271</v>
      </c>
    </row>
    <row r="15" spans="1:11" x14ac:dyDescent="0.25">
      <c r="A15" s="5" t="s">
        <v>78</v>
      </c>
      <c r="B15" t="s">
        <v>282</v>
      </c>
      <c r="C15">
        <v>89</v>
      </c>
      <c r="D15">
        <v>82</v>
      </c>
      <c r="E15">
        <v>76</v>
      </c>
      <c r="F15">
        <v>83</v>
      </c>
      <c r="G15" s="9">
        <f t="shared" si="3"/>
        <v>82.5</v>
      </c>
      <c r="H15" s="9">
        <f t="shared" si="2"/>
        <v>2.5</v>
      </c>
      <c r="I15" t="str">
        <f t="shared" si="4"/>
        <v>PASSED</v>
      </c>
      <c r="J15" t="s">
        <v>276</v>
      </c>
      <c r="K15" t="s">
        <v>274</v>
      </c>
    </row>
    <row r="16" spans="1:11" x14ac:dyDescent="0.25">
      <c r="A16" s="5" t="s">
        <v>78</v>
      </c>
      <c r="B16" t="s">
        <v>278</v>
      </c>
      <c r="C16">
        <v>94</v>
      </c>
      <c r="D16">
        <v>81</v>
      </c>
      <c r="E16">
        <v>97</v>
      </c>
      <c r="F16">
        <v>99</v>
      </c>
      <c r="G16" s="9">
        <f t="shared" si="3"/>
        <v>92.75</v>
      </c>
      <c r="H16" s="9">
        <f t="shared" si="2"/>
        <v>1.5</v>
      </c>
      <c r="I16" t="str">
        <f t="shared" si="4"/>
        <v>PASSED</v>
      </c>
      <c r="J16" t="s">
        <v>279</v>
      </c>
      <c r="K16" t="s">
        <v>274</v>
      </c>
    </row>
    <row r="17" spans="1:11" x14ac:dyDescent="0.25">
      <c r="A17" s="5" t="s">
        <v>78</v>
      </c>
      <c r="B17" t="s">
        <v>277</v>
      </c>
      <c r="C17">
        <v>91</v>
      </c>
      <c r="D17">
        <v>98</v>
      </c>
      <c r="E17">
        <v>91</v>
      </c>
      <c r="F17">
        <v>96</v>
      </c>
      <c r="G17" s="9">
        <f t="shared" si="3"/>
        <v>94</v>
      </c>
      <c r="H17" s="9">
        <f t="shared" si="2"/>
        <v>1.25</v>
      </c>
      <c r="I17" t="str">
        <f t="shared" si="4"/>
        <v>PASSED</v>
      </c>
      <c r="J17" t="s">
        <v>270</v>
      </c>
      <c r="K17" t="s">
        <v>271</v>
      </c>
    </row>
    <row r="18" spans="1:11" x14ac:dyDescent="0.25">
      <c r="A18" s="5" t="s">
        <v>78</v>
      </c>
      <c r="B18" t="s">
        <v>273</v>
      </c>
      <c r="C18">
        <v>92</v>
      </c>
      <c r="D18">
        <v>75</v>
      </c>
      <c r="E18">
        <v>75</v>
      </c>
      <c r="F18">
        <v>98</v>
      </c>
      <c r="G18" s="9">
        <v>85</v>
      </c>
      <c r="H18" s="9">
        <f t="shared" si="2"/>
        <v>2.25</v>
      </c>
      <c r="I18" t="s">
        <v>285</v>
      </c>
      <c r="J18" t="s">
        <v>279</v>
      </c>
      <c r="K18" t="s">
        <v>271</v>
      </c>
    </row>
    <row r="19" spans="1:11" x14ac:dyDescent="0.25">
      <c r="A19" s="5" t="s">
        <v>78</v>
      </c>
      <c r="B19" t="s">
        <v>275</v>
      </c>
      <c r="C19">
        <v>92</v>
      </c>
      <c r="D19">
        <v>75</v>
      </c>
      <c r="E19">
        <v>75</v>
      </c>
      <c r="F19">
        <v>98</v>
      </c>
      <c r="G19" s="9">
        <v>85</v>
      </c>
      <c r="H19" s="9">
        <f t="shared" si="2"/>
        <v>2.25</v>
      </c>
      <c r="I19" t="s">
        <v>285</v>
      </c>
      <c r="J19" t="s">
        <v>279</v>
      </c>
      <c r="K19" t="s">
        <v>271</v>
      </c>
    </row>
    <row r="20" spans="1:11" x14ac:dyDescent="0.25">
      <c r="A20" s="5" t="str">
        <f>IFERROR(Students!B5, "Student Not Found")</f>
        <v>Alex Cruz</v>
      </c>
      <c r="B20" t="s">
        <v>281</v>
      </c>
      <c r="C20">
        <v>76</v>
      </c>
      <c r="D20">
        <v>93</v>
      </c>
      <c r="E20">
        <v>83</v>
      </c>
      <c r="F20">
        <v>80</v>
      </c>
      <c r="G20" s="9">
        <f t="shared" ref="G20:G26" si="5">AVERAGE(C20:F20)</f>
        <v>83</v>
      </c>
      <c r="H20" s="9">
        <f t="shared" si="2"/>
        <v>2.25</v>
      </c>
      <c r="I20" t="str">
        <f t="shared" ref="I20:I26" si="6">IF(H20&lt;=3,"PASSED","FAILED")</f>
        <v>PASSED</v>
      </c>
      <c r="J20" t="s">
        <v>276</v>
      </c>
      <c r="K20" t="s">
        <v>274</v>
      </c>
    </row>
    <row r="21" spans="1:11" x14ac:dyDescent="0.25">
      <c r="A21" s="5" t="s">
        <v>28</v>
      </c>
      <c r="B21" t="s">
        <v>269</v>
      </c>
      <c r="C21">
        <v>92</v>
      </c>
      <c r="D21">
        <v>86</v>
      </c>
      <c r="E21">
        <v>96</v>
      </c>
      <c r="F21">
        <v>87</v>
      </c>
      <c r="G21" s="9">
        <f t="shared" si="5"/>
        <v>90.25</v>
      </c>
      <c r="H21" s="9">
        <f t="shared" si="2"/>
        <v>1.75</v>
      </c>
      <c r="I21" t="str">
        <f t="shared" si="6"/>
        <v>PASSED</v>
      </c>
      <c r="J21" t="s">
        <v>276</v>
      </c>
      <c r="K21" t="s">
        <v>274</v>
      </c>
    </row>
    <row r="22" spans="1:11" x14ac:dyDescent="0.25">
      <c r="A22" s="5" t="s">
        <v>28</v>
      </c>
      <c r="B22" t="s">
        <v>272</v>
      </c>
      <c r="C22">
        <v>84</v>
      </c>
      <c r="D22">
        <v>95</v>
      </c>
      <c r="E22">
        <v>99</v>
      </c>
      <c r="F22">
        <v>81</v>
      </c>
      <c r="G22" s="9">
        <f t="shared" si="5"/>
        <v>89.75</v>
      </c>
      <c r="H22" s="9">
        <f t="shared" si="2"/>
        <v>1.75</v>
      </c>
      <c r="I22" t="str">
        <f t="shared" si="6"/>
        <v>PASSED</v>
      </c>
      <c r="J22" t="s">
        <v>270</v>
      </c>
      <c r="K22" t="s">
        <v>274</v>
      </c>
    </row>
    <row r="23" spans="1:11" x14ac:dyDescent="0.25">
      <c r="A23" s="5" t="s">
        <v>28</v>
      </c>
      <c r="B23" t="s">
        <v>280</v>
      </c>
      <c r="C23">
        <v>83</v>
      </c>
      <c r="D23">
        <v>89</v>
      </c>
      <c r="E23">
        <v>96</v>
      </c>
      <c r="F23">
        <v>81</v>
      </c>
      <c r="G23" s="9">
        <f t="shared" si="5"/>
        <v>87.25</v>
      </c>
      <c r="H23" s="9">
        <f t="shared" si="2"/>
        <v>2</v>
      </c>
      <c r="I23" t="str">
        <f t="shared" si="6"/>
        <v>PASSED</v>
      </c>
      <c r="J23" t="s">
        <v>270</v>
      </c>
      <c r="K23" t="s">
        <v>274</v>
      </c>
    </row>
    <row r="24" spans="1:11" x14ac:dyDescent="0.25">
      <c r="A24" s="5" t="s">
        <v>28</v>
      </c>
      <c r="B24" t="s">
        <v>282</v>
      </c>
      <c r="C24">
        <v>98</v>
      </c>
      <c r="D24">
        <v>86</v>
      </c>
      <c r="E24">
        <v>98</v>
      </c>
      <c r="F24">
        <v>98</v>
      </c>
      <c r="G24" s="9">
        <f t="shared" si="5"/>
        <v>95</v>
      </c>
      <c r="H24" s="9">
        <f t="shared" si="2"/>
        <v>1.25</v>
      </c>
      <c r="I24" t="str">
        <f t="shared" si="6"/>
        <v>PASSED</v>
      </c>
      <c r="J24" t="s">
        <v>270</v>
      </c>
      <c r="K24" t="s">
        <v>271</v>
      </c>
    </row>
    <row r="25" spans="1:11" x14ac:dyDescent="0.25">
      <c r="A25" s="5" t="s">
        <v>28</v>
      </c>
      <c r="B25" t="s">
        <v>278</v>
      </c>
      <c r="C25">
        <v>81</v>
      </c>
      <c r="D25">
        <v>97</v>
      </c>
      <c r="E25">
        <v>80</v>
      </c>
      <c r="F25">
        <v>78</v>
      </c>
      <c r="G25" s="9">
        <f t="shared" si="5"/>
        <v>84</v>
      </c>
      <c r="H25" s="9">
        <f t="shared" si="2"/>
        <v>2.25</v>
      </c>
      <c r="I25" t="str">
        <f t="shared" si="6"/>
        <v>PASSED</v>
      </c>
      <c r="J25" t="s">
        <v>276</v>
      </c>
      <c r="K25" t="s">
        <v>271</v>
      </c>
    </row>
    <row r="26" spans="1:11" x14ac:dyDescent="0.25">
      <c r="A26" s="5" t="s">
        <v>28</v>
      </c>
      <c r="B26" t="s">
        <v>277</v>
      </c>
      <c r="C26">
        <v>97</v>
      </c>
      <c r="D26">
        <v>75</v>
      </c>
      <c r="E26">
        <v>97</v>
      </c>
      <c r="F26">
        <v>90</v>
      </c>
      <c r="G26" s="9">
        <f t="shared" si="5"/>
        <v>89.75</v>
      </c>
      <c r="H26" s="9">
        <f t="shared" si="2"/>
        <v>1.75</v>
      </c>
      <c r="I26" t="str">
        <f t="shared" si="6"/>
        <v>PASSED</v>
      </c>
      <c r="J26" t="s">
        <v>279</v>
      </c>
      <c r="K26" t="s">
        <v>274</v>
      </c>
    </row>
    <row r="27" spans="1:11" x14ac:dyDescent="0.25">
      <c r="A27" s="5" t="s">
        <v>28</v>
      </c>
      <c r="B27" t="s">
        <v>273</v>
      </c>
      <c r="C27">
        <v>82</v>
      </c>
      <c r="D27">
        <v>83</v>
      </c>
      <c r="E27">
        <v>91</v>
      </c>
      <c r="F27">
        <v>98</v>
      </c>
      <c r="G27" s="9">
        <v>88.5</v>
      </c>
      <c r="H27" s="9">
        <f t="shared" si="2"/>
        <v>2</v>
      </c>
      <c r="I27" t="s">
        <v>285</v>
      </c>
      <c r="J27" t="s">
        <v>276</v>
      </c>
      <c r="K27" t="s">
        <v>274</v>
      </c>
    </row>
    <row r="28" spans="1:11" x14ac:dyDescent="0.25">
      <c r="A28" s="5" t="s">
        <v>28</v>
      </c>
      <c r="B28" t="s">
        <v>275</v>
      </c>
      <c r="C28">
        <v>82</v>
      </c>
      <c r="D28">
        <v>83</v>
      </c>
      <c r="E28">
        <v>91</v>
      </c>
      <c r="F28">
        <v>98</v>
      </c>
      <c r="G28" s="9">
        <v>88.5</v>
      </c>
      <c r="H28" s="9">
        <f t="shared" si="2"/>
        <v>2</v>
      </c>
      <c r="I28" t="s">
        <v>285</v>
      </c>
      <c r="J28" t="s">
        <v>276</v>
      </c>
      <c r="K28" t="s">
        <v>274</v>
      </c>
    </row>
    <row r="29" spans="1:11" x14ac:dyDescent="0.25">
      <c r="A29" s="5" t="str">
        <f>IFERROR(Students!B16, "Student Not Found")</f>
        <v>Alex Delos Reyes</v>
      </c>
      <c r="B29" t="s">
        <v>281</v>
      </c>
      <c r="C29">
        <v>80</v>
      </c>
      <c r="D29">
        <v>80</v>
      </c>
      <c r="E29">
        <v>88</v>
      </c>
      <c r="F29">
        <v>87</v>
      </c>
      <c r="G29" s="9">
        <f t="shared" ref="G29:G35" si="7">AVERAGE(C29:F29)</f>
        <v>83.75</v>
      </c>
      <c r="H29" s="9">
        <f t="shared" si="2"/>
        <v>2.25</v>
      </c>
      <c r="I29" t="str">
        <f t="shared" ref="I29:I35" si="8">IF(H29&lt;=3,"PASSED","FAILED")</f>
        <v>PASSED</v>
      </c>
      <c r="J29" t="s">
        <v>279</v>
      </c>
      <c r="K29" t="s">
        <v>271</v>
      </c>
    </row>
    <row r="30" spans="1:11" x14ac:dyDescent="0.25">
      <c r="A30" s="5" t="s">
        <v>83</v>
      </c>
      <c r="B30" t="s">
        <v>269</v>
      </c>
      <c r="C30">
        <v>87</v>
      </c>
      <c r="D30">
        <v>83</v>
      </c>
      <c r="E30">
        <v>77</v>
      </c>
      <c r="F30">
        <v>89</v>
      </c>
      <c r="G30" s="9">
        <f t="shared" si="7"/>
        <v>84</v>
      </c>
      <c r="H30" s="9">
        <f t="shared" si="2"/>
        <v>2.25</v>
      </c>
      <c r="I30" t="str">
        <f t="shared" si="8"/>
        <v>PASSED</v>
      </c>
      <c r="J30" t="s">
        <v>276</v>
      </c>
      <c r="K30" t="s">
        <v>271</v>
      </c>
    </row>
    <row r="31" spans="1:11" x14ac:dyDescent="0.25">
      <c r="A31" s="5" t="s">
        <v>83</v>
      </c>
      <c r="B31" t="s">
        <v>272</v>
      </c>
      <c r="C31">
        <v>88</v>
      </c>
      <c r="D31">
        <v>93</v>
      </c>
      <c r="E31">
        <v>92</v>
      </c>
      <c r="F31">
        <v>98</v>
      </c>
      <c r="G31" s="9">
        <f t="shared" si="7"/>
        <v>92.75</v>
      </c>
      <c r="H31" s="9">
        <f t="shared" si="2"/>
        <v>1.5</v>
      </c>
      <c r="I31" t="str">
        <f t="shared" si="8"/>
        <v>PASSED</v>
      </c>
      <c r="J31" t="s">
        <v>270</v>
      </c>
      <c r="K31" t="s">
        <v>271</v>
      </c>
    </row>
    <row r="32" spans="1:11" x14ac:dyDescent="0.25">
      <c r="A32" s="5" t="s">
        <v>83</v>
      </c>
      <c r="B32" t="s">
        <v>280</v>
      </c>
      <c r="C32">
        <v>93</v>
      </c>
      <c r="D32">
        <v>88</v>
      </c>
      <c r="E32">
        <v>93</v>
      </c>
      <c r="F32">
        <v>78</v>
      </c>
      <c r="G32" s="9">
        <f t="shared" si="7"/>
        <v>88</v>
      </c>
      <c r="H32" s="9">
        <f t="shared" si="2"/>
        <v>2</v>
      </c>
      <c r="I32" t="str">
        <f t="shared" si="8"/>
        <v>PASSED</v>
      </c>
      <c r="J32" t="s">
        <v>276</v>
      </c>
      <c r="K32" t="s">
        <v>271</v>
      </c>
    </row>
    <row r="33" spans="1:11" x14ac:dyDescent="0.25">
      <c r="A33" s="5" t="s">
        <v>83</v>
      </c>
      <c r="B33" t="s">
        <v>282</v>
      </c>
      <c r="C33">
        <v>86</v>
      </c>
      <c r="D33">
        <v>87</v>
      </c>
      <c r="E33">
        <v>84</v>
      </c>
      <c r="F33">
        <v>99</v>
      </c>
      <c r="G33" s="9">
        <f t="shared" si="7"/>
        <v>89</v>
      </c>
      <c r="H33" s="9">
        <f t="shared" si="2"/>
        <v>1.75</v>
      </c>
      <c r="I33" t="str">
        <f t="shared" si="8"/>
        <v>PASSED</v>
      </c>
      <c r="J33" t="s">
        <v>270</v>
      </c>
      <c r="K33" t="s">
        <v>274</v>
      </c>
    </row>
    <row r="34" spans="1:11" x14ac:dyDescent="0.25">
      <c r="A34" s="5" t="s">
        <v>83</v>
      </c>
      <c r="B34" t="s">
        <v>278</v>
      </c>
      <c r="C34">
        <v>86</v>
      </c>
      <c r="D34">
        <v>86</v>
      </c>
      <c r="E34">
        <v>98</v>
      </c>
      <c r="F34">
        <v>91</v>
      </c>
      <c r="G34" s="9">
        <f t="shared" si="7"/>
        <v>90.25</v>
      </c>
      <c r="H34" s="9">
        <f t="shared" si="2"/>
        <v>1.75</v>
      </c>
      <c r="I34" t="str">
        <f t="shared" si="8"/>
        <v>PASSED</v>
      </c>
      <c r="J34" t="s">
        <v>270</v>
      </c>
      <c r="K34" t="s">
        <v>271</v>
      </c>
    </row>
    <row r="35" spans="1:11" x14ac:dyDescent="0.25">
      <c r="A35" s="5" t="s">
        <v>83</v>
      </c>
      <c r="B35" t="s">
        <v>277</v>
      </c>
      <c r="C35">
        <v>83</v>
      </c>
      <c r="D35">
        <v>75</v>
      </c>
      <c r="E35">
        <v>77</v>
      </c>
      <c r="F35">
        <v>75</v>
      </c>
      <c r="G35" s="9">
        <f t="shared" si="7"/>
        <v>77.5</v>
      </c>
      <c r="H35" s="9">
        <f t="shared" si="2"/>
        <v>2.75</v>
      </c>
      <c r="I35" t="str">
        <f t="shared" si="8"/>
        <v>PASSED</v>
      </c>
      <c r="J35" t="s">
        <v>276</v>
      </c>
      <c r="K35" t="s">
        <v>274</v>
      </c>
    </row>
    <row r="36" spans="1:11" x14ac:dyDescent="0.25">
      <c r="A36" s="5" t="s">
        <v>83</v>
      </c>
      <c r="B36" t="s">
        <v>273</v>
      </c>
      <c r="C36">
        <v>79</v>
      </c>
      <c r="D36">
        <v>84</v>
      </c>
      <c r="E36">
        <v>87</v>
      </c>
      <c r="F36">
        <v>78</v>
      </c>
      <c r="G36" s="9">
        <v>82</v>
      </c>
      <c r="H36" s="9">
        <f t="shared" si="2"/>
        <v>2.5</v>
      </c>
      <c r="I36" t="s">
        <v>285</v>
      </c>
      <c r="J36" t="s">
        <v>279</v>
      </c>
      <c r="K36" t="s">
        <v>271</v>
      </c>
    </row>
    <row r="37" spans="1:11" x14ac:dyDescent="0.25">
      <c r="A37" s="5" t="s">
        <v>83</v>
      </c>
      <c r="B37" t="s">
        <v>275</v>
      </c>
      <c r="C37">
        <v>79</v>
      </c>
      <c r="D37">
        <v>84</v>
      </c>
      <c r="E37">
        <v>87</v>
      </c>
      <c r="F37">
        <v>78</v>
      </c>
      <c r="G37" s="9">
        <v>82</v>
      </c>
      <c r="H37" s="9">
        <f t="shared" si="2"/>
        <v>2.5</v>
      </c>
      <c r="I37" t="s">
        <v>285</v>
      </c>
      <c r="J37" t="s">
        <v>279</v>
      </c>
      <c r="K37" t="s">
        <v>271</v>
      </c>
    </row>
    <row r="38" spans="1:11" x14ac:dyDescent="0.25">
      <c r="A38" s="5" t="str">
        <f>IFERROR(Students!B7, "Student Not Found")</f>
        <v>Alex Flores</v>
      </c>
      <c r="B38" t="s">
        <v>281</v>
      </c>
      <c r="C38">
        <v>75</v>
      </c>
      <c r="D38">
        <v>91</v>
      </c>
      <c r="E38">
        <v>80</v>
      </c>
      <c r="F38">
        <v>87</v>
      </c>
      <c r="G38" s="9">
        <f t="shared" ref="G38:G44" si="9">AVERAGE(C38:F38)</f>
        <v>83.25</v>
      </c>
      <c r="H38" s="9">
        <f t="shared" si="2"/>
        <v>2.25</v>
      </c>
      <c r="I38" t="str">
        <f t="shared" ref="I38:I44" si="10">IF(H38&lt;=3,"PASSED","FAILED")</f>
        <v>PASSED</v>
      </c>
      <c r="J38" t="s">
        <v>276</v>
      </c>
      <c r="K38" t="s">
        <v>274</v>
      </c>
    </row>
    <row r="39" spans="1:11" x14ac:dyDescent="0.25">
      <c r="A39" s="5" t="s">
        <v>38</v>
      </c>
      <c r="B39" t="s">
        <v>269</v>
      </c>
      <c r="C39">
        <v>99</v>
      </c>
      <c r="D39">
        <v>85</v>
      </c>
      <c r="E39">
        <v>83</v>
      </c>
      <c r="F39">
        <v>87</v>
      </c>
      <c r="G39" s="9">
        <f t="shared" si="9"/>
        <v>88.5</v>
      </c>
      <c r="H39" s="9">
        <f t="shared" si="2"/>
        <v>2</v>
      </c>
      <c r="I39" t="str">
        <f t="shared" si="10"/>
        <v>PASSED</v>
      </c>
      <c r="J39" t="s">
        <v>270</v>
      </c>
      <c r="K39" t="s">
        <v>271</v>
      </c>
    </row>
    <row r="40" spans="1:11" x14ac:dyDescent="0.25">
      <c r="A40" s="5" t="s">
        <v>38</v>
      </c>
      <c r="B40" t="s">
        <v>272</v>
      </c>
      <c r="C40">
        <v>94</v>
      </c>
      <c r="D40">
        <v>80</v>
      </c>
      <c r="E40">
        <v>88</v>
      </c>
      <c r="F40">
        <v>90</v>
      </c>
      <c r="G40" s="9">
        <f t="shared" si="9"/>
        <v>88</v>
      </c>
      <c r="H40" s="9">
        <f t="shared" si="2"/>
        <v>2</v>
      </c>
      <c r="I40" t="str">
        <f t="shared" si="10"/>
        <v>PASSED</v>
      </c>
      <c r="J40" t="s">
        <v>276</v>
      </c>
      <c r="K40" t="s">
        <v>274</v>
      </c>
    </row>
    <row r="41" spans="1:11" x14ac:dyDescent="0.25">
      <c r="A41" s="5" t="s">
        <v>38</v>
      </c>
      <c r="B41" t="s">
        <v>280</v>
      </c>
      <c r="C41">
        <v>88</v>
      </c>
      <c r="D41">
        <v>93</v>
      </c>
      <c r="E41">
        <v>97</v>
      </c>
      <c r="F41">
        <v>96</v>
      </c>
      <c r="G41" s="9">
        <f t="shared" si="9"/>
        <v>93.5</v>
      </c>
      <c r="H41" s="9">
        <f t="shared" si="2"/>
        <v>1.5</v>
      </c>
      <c r="I41" t="str">
        <f t="shared" si="10"/>
        <v>PASSED</v>
      </c>
      <c r="J41" t="s">
        <v>270</v>
      </c>
      <c r="K41" t="s">
        <v>274</v>
      </c>
    </row>
    <row r="42" spans="1:11" x14ac:dyDescent="0.25">
      <c r="A42" s="5" t="s">
        <v>38</v>
      </c>
      <c r="B42" t="s">
        <v>282</v>
      </c>
      <c r="C42">
        <v>85</v>
      </c>
      <c r="D42">
        <v>92</v>
      </c>
      <c r="E42">
        <v>78</v>
      </c>
      <c r="F42">
        <v>77</v>
      </c>
      <c r="G42" s="9">
        <f t="shared" si="9"/>
        <v>83</v>
      </c>
      <c r="H42" s="9">
        <f t="shared" si="2"/>
        <v>2.25</v>
      </c>
      <c r="I42" t="str">
        <f t="shared" si="10"/>
        <v>PASSED</v>
      </c>
      <c r="J42" t="s">
        <v>270</v>
      </c>
      <c r="K42" t="s">
        <v>271</v>
      </c>
    </row>
    <row r="43" spans="1:11" x14ac:dyDescent="0.25">
      <c r="A43" s="5" t="s">
        <v>38</v>
      </c>
      <c r="B43" t="s">
        <v>278</v>
      </c>
      <c r="C43">
        <v>79</v>
      </c>
      <c r="D43">
        <v>91</v>
      </c>
      <c r="E43">
        <v>81</v>
      </c>
      <c r="F43">
        <v>80</v>
      </c>
      <c r="G43" s="9">
        <f t="shared" si="9"/>
        <v>82.75</v>
      </c>
      <c r="H43" s="9">
        <f t="shared" si="2"/>
        <v>2.5</v>
      </c>
      <c r="I43" t="str">
        <f t="shared" si="10"/>
        <v>PASSED</v>
      </c>
      <c r="J43" t="s">
        <v>270</v>
      </c>
      <c r="K43" t="s">
        <v>271</v>
      </c>
    </row>
    <row r="44" spans="1:11" x14ac:dyDescent="0.25">
      <c r="A44" s="5" t="s">
        <v>38</v>
      </c>
      <c r="B44" t="s">
        <v>277</v>
      </c>
      <c r="C44">
        <v>76</v>
      </c>
      <c r="D44">
        <v>78</v>
      </c>
      <c r="E44">
        <v>76</v>
      </c>
      <c r="F44">
        <v>82</v>
      </c>
      <c r="G44" s="9">
        <f t="shared" si="9"/>
        <v>78</v>
      </c>
      <c r="H44" s="9">
        <f t="shared" si="2"/>
        <v>2.75</v>
      </c>
      <c r="I44" t="str">
        <f t="shared" si="10"/>
        <v>PASSED</v>
      </c>
      <c r="J44" t="s">
        <v>276</v>
      </c>
      <c r="K44" t="s">
        <v>274</v>
      </c>
    </row>
    <row r="45" spans="1:11" x14ac:dyDescent="0.25">
      <c r="A45" s="5" t="s">
        <v>38</v>
      </c>
      <c r="B45" t="s">
        <v>273</v>
      </c>
      <c r="C45">
        <v>76</v>
      </c>
      <c r="D45">
        <v>91</v>
      </c>
      <c r="E45">
        <v>86</v>
      </c>
      <c r="F45">
        <v>91</v>
      </c>
      <c r="G45" s="9">
        <v>86</v>
      </c>
      <c r="H45" s="9">
        <f t="shared" si="2"/>
        <v>2</v>
      </c>
      <c r="I45" t="s">
        <v>285</v>
      </c>
      <c r="J45" t="s">
        <v>270</v>
      </c>
      <c r="K45" t="s">
        <v>271</v>
      </c>
    </row>
    <row r="46" spans="1:11" x14ac:dyDescent="0.25">
      <c r="A46" s="5" t="s">
        <v>38</v>
      </c>
      <c r="B46" t="s">
        <v>275</v>
      </c>
      <c r="C46">
        <v>76</v>
      </c>
      <c r="D46">
        <v>91</v>
      </c>
      <c r="E46">
        <v>86</v>
      </c>
      <c r="F46">
        <v>91</v>
      </c>
      <c r="G46" s="9">
        <v>86</v>
      </c>
      <c r="H46" s="9">
        <f t="shared" si="2"/>
        <v>2</v>
      </c>
      <c r="I46" t="s">
        <v>285</v>
      </c>
      <c r="J46" t="s">
        <v>270</v>
      </c>
      <c r="K46" t="s">
        <v>271</v>
      </c>
    </row>
    <row r="47" spans="1:11" x14ac:dyDescent="0.25">
      <c r="A47" s="5" t="str">
        <f>IFERROR(Students!B3, "Student Not Found")</f>
        <v>Alex Garcia</v>
      </c>
      <c r="B47" t="s">
        <v>281</v>
      </c>
      <c r="C47">
        <v>95</v>
      </c>
      <c r="D47">
        <v>99</v>
      </c>
      <c r="E47">
        <v>91</v>
      </c>
      <c r="F47">
        <v>95</v>
      </c>
      <c r="G47" s="9">
        <f t="shared" ref="G47:G53" si="11">AVERAGE(C47:F47)</f>
        <v>95</v>
      </c>
      <c r="H47" s="9">
        <f t="shared" si="2"/>
        <v>1.25</v>
      </c>
      <c r="I47" t="str">
        <f t="shared" ref="I47:I53" si="12">IF(H47&lt;=3,"PASSED","FAILED")</f>
        <v>PASSED</v>
      </c>
      <c r="J47" t="s">
        <v>270</v>
      </c>
      <c r="K47" t="s">
        <v>271</v>
      </c>
    </row>
    <row r="48" spans="1:11" x14ac:dyDescent="0.25">
      <c r="A48" s="5" t="s">
        <v>16</v>
      </c>
      <c r="B48" t="s">
        <v>269</v>
      </c>
      <c r="C48">
        <v>90</v>
      </c>
      <c r="D48">
        <v>96</v>
      </c>
      <c r="E48">
        <v>83</v>
      </c>
      <c r="F48">
        <v>98</v>
      </c>
      <c r="G48" s="9">
        <f t="shared" si="11"/>
        <v>91.75</v>
      </c>
      <c r="H48" s="9">
        <f t="shared" si="2"/>
        <v>1.5</v>
      </c>
      <c r="I48" t="str">
        <f t="shared" si="12"/>
        <v>PASSED</v>
      </c>
      <c r="J48" t="s">
        <v>270</v>
      </c>
      <c r="K48" t="s">
        <v>271</v>
      </c>
    </row>
    <row r="49" spans="1:11" x14ac:dyDescent="0.25">
      <c r="A49" s="5" t="s">
        <v>16</v>
      </c>
      <c r="B49" t="s">
        <v>272</v>
      </c>
      <c r="C49">
        <v>92</v>
      </c>
      <c r="D49">
        <v>80</v>
      </c>
      <c r="E49">
        <v>89</v>
      </c>
      <c r="F49">
        <v>85</v>
      </c>
      <c r="G49" s="9">
        <f t="shared" si="11"/>
        <v>86.5</v>
      </c>
      <c r="H49" s="9">
        <f t="shared" si="2"/>
        <v>2</v>
      </c>
      <c r="I49" t="str">
        <f t="shared" si="12"/>
        <v>PASSED</v>
      </c>
      <c r="J49" t="s">
        <v>279</v>
      </c>
      <c r="K49" t="s">
        <v>271</v>
      </c>
    </row>
    <row r="50" spans="1:11" x14ac:dyDescent="0.25">
      <c r="A50" s="5" t="s">
        <v>16</v>
      </c>
      <c r="B50" t="s">
        <v>280</v>
      </c>
      <c r="C50">
        <v>80</v>
      </c>
      <c r="D50">
        <v>85</v>
      </c>
      <c r="E50">
        <v>77</v>
      </c>
      <c r="F50">
        <v>87</v>
      </c>
      <c r="G50" s="9">
        <f t="shared" si="11"/>
        <v>82.25</v>
      </c>
      <c r="H50" s="9">
        <f t="shared" si="2"/>
        <v>2.5</v>
      </c>
      <c r="I50" t="str">
        <f t="shared" si="12"/>
        <v>PASSED</v>
      </c>
      <c r="J50" t="s">
        <v>279</v>
      </c>
      <c r="K50" t="s">
        <v>274</v>
      </c>
    </row>
    <row r="51" spans="1:11" x14ac:dyDescent="0.25">
      <c r="A51" s="5" t="s">
        <v>16</v>
      </c>
      <c r="B51" t="s">
        <v>282</v>
      </c>
      <c r="C51">
        <v>91</v>
      </c>
      <c r="D51">
        <v>78</v>
      </c>
      <c r="E51">
        <v>78</v>
      </c>
      <c r="F51">
        <v>94</v>
      </c>
      <c r="G51" s="9">
        <f t="shared" si="11"/>
        <v>85.25</v>
      </c>
      <c r="H51" s="9">
        <f t="shared" si="2"/>
        <v>2.25</v>
      </c>
      <c r="I51" t="str">
        <f t="shared" si="12"/>
        <v>PASSED</v>
      </c>
      <c r="J51" t="s">
        <v>270</v>
      </c>
      <c r="K51" t="s">
        <v>274</v>
      </c>
    </row>
    <row r="52" spans="1:11" x14ac:dyDescent="0.25">
      <c r="A52" s="5" t="s">
        <v>16</v>
      </c>
      <c r="B52" t="s">
        <v>278</v>
      </c>
      <c r="C52">
        <v>89</v>
      </c>
      <c r="D52">
        <v>87</v>
      </c>
      <c r="E52">
        <v>87</v>
      </c>
      <c r="F52">
        <v>75</v>
      </c>
      <c r="G52" s="9">
        <f t="shared" si="11"/>
        <v>84.5</v>
      </c>
      <c r="H52" s="9">
        <f t="shared" si="2"/>
        <v>2.25</v>
      </c>
      <c r="I52" t="str">
        <f t="shared" si="12"/>
        <v>PASSED</v>
      </c>
      <c r="J52" t="s">
        <v>276</v>
      </c>
      <c r="K52" t="s">
        <v>271</v>
      </c>
    </row>
    <row r="53" spans="1:11" x14ac:dyDescent="0.25">
      <c r="A53" s="5" t="s">
        <v>16</v>
      </c>
      <c r="B53" t="s">
        <v>277</v>
      </c>
      <c r="C53">
        <v>78</v>
      </c>
      <c r="D53">
        <v>86</v>
      </c>
      <c r="E53">
        <v>90</v>
      </c>
      <c r="F53">
        <v>87</v>
      </c>
      <c r="G53" s="9">
        <f t="shared" si="11"/>
        <v>85.25</v>
      </c>
      <c r="H53" s="9">
        <f t="shared" si="2"/>
        <v>2.25</v>
      </c>
      <c r="I53" t="str">
        <f t="shared" si="12"/>
        <v>PASSED</v>
      </c>
      <c r="J53" t="s">
        <v>276</v>
      </c>
      <c r="K53" t="s">
        <v>271</v>
      </c>
    </row>
    <row r="54" spans="1:11" x14ac:dyDescent="0.25">
      <c r="A54" s="5" t="s">
        <v>16</v>
      </c>
      <c r="B54" t="s">
        <v>273</v>
      </c>
      <c r="C54">
        <v>81</v>
      </c>
      <c r="D54">
        <v>88</v>
      </c>
      <c r="E54">
        <v>79</v>
      </c>
      <c r="F54">
        <v>90</v>
      </c>
      <c r="G54" s="9">
        <v>84.5</v>
      </c>
      <c r="H54" s="9">
        <f t="shared" si="2"/>
        <v>2.25</v>
      </c>
      <c r="I54" t="s">
        <v>285</v>
      </c>
      <c r="J54" t="s">
        <v>270</v>
      </c>
      <c r="K54" t="s">
        <v>274</v>
      </c>
    </row>
    <row r="55" spans="1:11" x14ac:dyDescent="0.25">
      <c r="A55" s="5" t="s">
        <v>16</v>
      </c>
      <c r="B55" t="s">
        <v>275</v>
      </c>
      <c r="C55">
        <v>81</v>
      </c>
      <c r="D55">
        <v>88</v>
      </c>
      <c r="E55">
        <v>79</v>
      </c>
      <c r="F55">
        <v>90</v>
      </c>
      <c r="G55" s="9">
        <v>84.5</v>
      </c>
      <c r="H55" s="9">
        <f t="shared" si="2"/>
        <v>2.25</v>
      </c>
      <c r="I55" t="s">
        <v>285</v>
      </c>
      <c r="J55" t="s">
        <v>270</v>
      </c>
      <c r="K55" t="s">
        <v>274</v>
      </c>
    </row>
    <row r="56" spans="1:11" x14ac:dyDescent="0.25">
      <c r="A56" s="5" t="str">
        <f>IFERROR(Students!B9, "Student Not Found")</f>
        <v>Alex Gonzales</v>
      </c>
      <c r="B56" t="s">
        <v>281</v>
      </c>
      <c r="C56">
        <v>88</v>
      </c>
      <c r="D56">
        <v>94</v>
      </c>
      <c r="E56">
        <v>93</v>
      </c>
      <c r="F56">
        <v>83</v>
      </c>
      <c r="G56" s="9">
        <f t="shared" ref="G56:G62" si="13">AVERAGE(C56:F56)</f>
        <v>89.5</v>
      </c>
      <c r="H56" s="9">
        <f t="shared" si="2"/>
        <v>1.75</v>
      </c>
      <c r="I56" t="str">
        <f t="shared" ref="I56:I62" si="14">IF(H56&lt;=3,"PASSED","FAILED")</f>
        <v>PASSED</v>
      </c>
      <c r="J56" t="s">
        <v>279</v>
      </c>
      <c r="K56" t="s">
        <v>274</v>
      </c>
    </row>
    <row r="57" spans="1:11" x14ac:dyDescent="0.25">
      <c r="A57" s="5" t="s">
        <v>48</v>
      </c>
      <c r="B57" t="s">
        <v>269</v>
      </c>
      <c r="C57">
        <v>86</v>
      </c>
      <c r="D57">
        <v>96</v>
      </c>
      <c r="E57">
        <v>89</v>
      </c>
      <c r="F57">
        <v>96</v>
      </c>
      <c r="G57" s="9">
        <f t="shared" si="13"/>
        <v>91.75</v>
      </c>
      <c r="H57" s="9">
        <f t="shared" si="2"/>
        <v>1.5</v>
      </c>
      <c r="I57" t="str">
        <f t="shared" si="14"/>
        <v>PASSED</v>
      </c>
      <c r="J57" t="s">
        <v>270</v>
      </c>
      <c r="K57" t="s">
        <v>274</v>
      </c>
    </row>
    <row r="58" spans="1:11" x14ac:dyDescent="0.25">
      <c r="A58" s="5" t="s">
        <v>48</v>
      </c>
      <c r="B58" t="s">
        <v>272</v>
      </c>
      <c r="C58">
        <v>97</v>
      </c>
      <c r="D58">
        <v>87</v>
      </c>
      <c r="E58">
        <v>83</v>
      </c>
      <c r="F58">
        <v>83</v>
      </c>
      <c r="G58" s="9">
        <f t="shared" si="13"/>
        <v>87.5</v>
      </c>
      <c r="H58" s="9">
        <f t="shared" si="2"/>
        <v>2</v>
      </c>
      <c r="I58" t="str">
        <f t="shared" si="14"/>
        <v>PASSED</v>
      </c>
      <c r="J58" t="s">
        <v>276</v>
      </c>
      <c r="K58" t="s">
        <v>271</v>
      </c>
    </row>
    <row r="59" spans="1:11" x14ac:dyDescent="0.25">
      <c r="A59" s="5" t="s">
        <v>48</v>
      </c>
      <c r="B59" t="s">
        <v>280</v>
      </c>
      <c r="C59">
        <v>76</v>
      </c>
      <c r="D59">
        <v>85</v>
      </c>
      <c r="E59">
        <v>87</v>
      </c>
      <c r="F59">
        <v>86</v>
      </c>
      <c r="G59" s="9">
        <f t="shared" si="13"/>
        <v>83.5</v>
      </c>
      <c r="H59" s="9">
        <f t="shared" si="2"/>
        <v>2.25</v>
      </c>
      <c r="I59" t="str">
        <f t="shared" si="14"/>
        <v>PASSED</v>
      </c>
      <c r="J59" t="s">
        <v>270</v>
      </c>
      <c r="K59" t="s">
        <v>271</v>
      </c>
    </row>
    <row r="60" spans="1:11" x14ac:dyDescent="0.25">
      <c r="A60" s="5" t="s">
        <v>48</v>
      </c>
      <c r="B60" t="s">
        <v>282</v>
      </c>
      <c r="C60">
        <v>76</v>
      </c>
      <c r="D60">
        <v>79</v>
      </c>
      <c r="E60">
        <v>92</v>
      </c>
      <c r="F60">
        <v>93</v>
      </c>
      <c r="G60" s="9">
        <f t="shared" si="13"/>
        <v>85</v>
      </c>
      <c r="H60" s="9">
        <f t="shared" si="2"/>
        <v>2.25</v>
      </c>
      <c r="I60" t="str">
        <f t="shared" si="14"/>
        <v>PASSED</v>
      </c>
      <c r="J60" t="s">
        <v>270</v>
      </c>
      <c r="K60" t="s">
        <v>271</v>
      </c>
    </row>
    <row r="61" spans="1:11" x14ac:dyDescent="0.25">
      <c r="A61" s="5" t="s">
        <v>48</v>
      </c>
      <c r="B61" t="s">
        <v>278</v>
      </c>
      <c r="C61">
        <v>75</v>
      </c>
      <c r="D61">
        <v>98</v>
      </c>
      <c r="E61">
        <v>97</v>
      </c>
      <c r="F61">
        <v>88</v>
      </c>
      <c r="G61" s="9">
        <f t="shared" si="13"/>
        <v>89.5</v>
      </c>
      <c r="H61" s="9">
        <f t="shared" si="2"/>
        <v>1.75</v>
      </c>
      <c r="I61" t="str">
        <f t="shared" si="14"/>
        <v>PASSED</v>
      </c>
      <c r="J61" t="s">
        <v>276</v>
      </c>
      <c r="K61" t="s">
        <v>271</v>
      </c>
    </row>
    <row r="62" spans="1:11" x14ac:dyDescent="0.25">
      <c r="A62" s="5" t="s">
        <v>48</v>
      </c>
      <c r="B62" t="s">
        <v>277</v>
      </c>
      <c r="C62">
        <v>78</v>
      </c>
      <c r="D62">
        <v>80</v>
      </c>
      <c r="E62">
        <v>82</v>
      </c>
      <c r="F62">
        <v>81</v>
      </c>
      <c r="G62" s="9">
        <f t="shared" si="13"/>
        <v>80.25</v>
      </c>
      <c r="H62" s="9">
        <f t="shared" si="2"/>
        <v>2.5</v>
      </c>
      <c r="I62" t="str">
        <f t="shared" si="14"/>
        <v>PASSED</v>
      </c>
      <c r="J62" t="s">
        <v>276</v>
      </c>
      <c r="K62" t="s">
        <v>271</v>
      </c>
    </row>
    <row r="63" spans="1:11" x14ac:dyDescent="0.25">
      <c r="A63" s="5" t="s">
        <v>48</v>
      </c>
      <c r="B63" t="s">
        <v>273</v>
      </c>
      <c r="C63">
        <v>92</v>
      </c>
      <c r="D63">
        <v>99</v>
      </c>
      <c r="E63">
        <v>79</v>
      </c>
      <c r="F63">
        <v>75</v>
      </c>
      <c r="G63" s="9">
        <v>86.25</v>
      </c>
      <c r="H63" s="9">
        <f t="shared" si="2"/>
        <v>2</v>
      </c>
      <c r="I63" t="s">
        <v>285</v>
      </c>
      <c r="J63" t="s">
        <v>270</v>
      </c>
      <c r="K63" t="s">
        <v>274</v>
      </c>
    </row>
    <row r="64" spans="1:11" x14ac:dyDescent="0.25">
      <c r="A64" s="5" t="s">
        <v>48</v>
      </c>
      <c r="B64" t="s">
        <v>275</v>
      </c>
      <c r="C64">
        <v>92</v>
      </c>
      <c r="D64">
        <v>99</v>
      </c>
      <c r="E64">
        <v>79</v>
      </c>
      <c r="F64">
        <v>75</v>
      </c>
      <c r="G64" s="9">
        <v>86.25</v>
      </c>
      <c r="H64" s="9">
        <f t="shared" si="2"/>
        <v>2</v>
      </c>
      <c r="I64" t="s">
        <v>285</v>
      </c>
      <c r="J64" t="s">
        <v>270</v>
      </c>
      <c r="K64" t="s">
        <v>274</v>
      </c>
    </row>
    <row r="65" spans="1:11" x14ac:dyDescent="0.25">
      <c r="A65" s="5" t="str">
        <f>IFERROR(Students!B6, "Student Not Found")</f>
        <v>Alex Lopez</v>
      </c>
      <c r="B65" t="s">
        <v>281</v>
      </c>
      <c r="C65">
        <v>86</v>
      </c>
      <c r="D65">
        <v>84</v>
      </c>
      <c r="E65">
        <v>84</v>
      </c>
      <c r="F65">
        <v>90</v>
      </c>
      <c r="G65" s="9">
        <f t="shared" ref="G65:G71" si="15">AVERAGE(C65:F65)</f>
        <v>86</v>
      </c>
      <c r="H65" s="9">
        <f t="shared" si="2"/>
        <v>2</v>
      </c>
      <c r="I65" t="str">
        <f t="shared" ref="I65:I71" si="16">IF(H65&lt;=3,"PASSED","FAILED")</f>
        <v>PASSED</v>
      </c>
      <c r="J65" t="s">
        <v>276</v>
      </c>
      <c r="K65" t="s">
        <v>274</v>
      </c>
    </row>
    <row r="66" spans="1:11" x14ac:dyDescent="0.25">
      <c r="A66" s="5" t="s">
        <v>33</v>
      </c>
      <c r="B66" t="s">
        <v>269</v>
      </c>
      <c r="C66">
        <v>78</v>
      </c>
      <c r="D66">
        <v>79</v>
      </c>
      <c r="E66">
        <v>87</v>
      </c>
      <c r="F66">
        <v>81</v>
      </c>
      <c r="G66" s="9">
        <f t="shared" si="15"/>
        <v>81.25</v>
      </c>
      <c r="H66" s="9">
        <f t="shared" si="2"/>
        <v>2.5</v>
      </c>
      <c r="I66" t="str">
        <f t="shared" si="16"/>
        <v>PASSED</v>
      </c>
      <c r="J66" t="s">
        <v>279</v>
      </c>
      <c r="K66" t="s">
        <v>271</v>
      </c>
    </row>
    <row r="67" spans="1:11" x14ac:dyDescent="0.25">
      <c r="A67" s="5" t="s">
        <v>33</v>
      </c>
      <c r="B67" t="s">
        <v>272</v>
      </c>
      <c r="C67">
        <v>97</v>
      </c>
      <c r="D67">
        <v>90</v>
      </c>
      <c r="E67">
        <v>92</v>
      </c>
      <c r="F67">
        <v>90</v>
      </c>
      <c r="G67" s="9">
        <f t="shared" si="15"/>
        <v>92.25</v>
      </c>
      <c r="H67" s="9">
        <f t="shared" ref="H67:H130" si="17">IF(G67&gt;=96,1,IF(G67&gt;=94,1.25,IF(G67&gt;=91,1.5,IF(G67&gt;=89,1.75,IF(G67&gt;=86,2,IF(G67&gt;=83,2.25,IF(G67&gt;=80,2.5,IF(G67&gt;=77,2.75,IF(G67&gt;=75,3,5)))))))))</f>
        <v>1.5</v>
      </c>
      <c r="I67" t="str">
        <f t="shared" si="16"/>
        <v>PASSED</v>
      </c>
      <c r="J67" t="s">
        <v>279</v>
      </c>
      <c r="K67" t="s">
        <v>274</v>
      </c>
    </row>
    <row r="68" spans="1:11" x14ac:dyDescent="0.25">
      <c r="A68" s="5" t="s">
        <v>33</v>
      </c>
      <c r="B68" t="s">
        <v>280</v>
      </c>
      <c r="C68">
        <v>90</v>
      </c>
      <c r="D68">
        <v>88</v>
      </c>
      <c r="E68">
        <v>77</v>
      </c>
      <c r="F68">
        <v>87</v>
      </c>
      <c r="G68" s="9">
        <f t="shared" si="15"/>
        <v>85.5</v>
      </c>
      <c r="H68" s="9">
        <f t="shared" si="17"/>
        <v>2.25</v>
      </c>
      <c r="I68" t="str">
        <f t="shared" si="16"/>
        <v>PASSED</v>
      </c>
      <c r="J68" t="s">
        <v>279</v>
      </c>
      <c r="K68" t="s">
        <v>274</v>
      </c>
    </row>
    <row r="69" spans="1:11" x14ac:dyDescent="0.25">
      <c r="A69" s="5" t="s">
        <v>33</v>
      </c>
      <c r="B69" t="s">
        <v>282</v>
      </c>
      <c r="C69">
        <v>83</v>
      </c>
      <c r="D69">
        <v>92</v>
      </c>
      <c r="E69">
        <v>75</v>
      </c>
      <c r="F69">
        <v>96</v>
      </c>
      <c r="G69" s="9">
        <f t="shared" si="15"/>
        <v>86.5</v>
      </c>
      <c r="H69" s="9">
        <f t="shared" si="17"/>
        <v>2</v>
      </c>
      <c r="I69" t="str">
        <f t="shared" si="16"/>
        <v>PASSED</v>
      </c>
      <c r="J69" t="s">
        <v>270</v>
      </c>
      <c r="K69" t="s">
        <v>271</v>
      </c>
    </row>
    <row r="70" spans="1:11" x14ac:dyDescent="0.25">
      <c r="A70" s="5" t="s">
        <v>33</v>
      </c>
      <c r="B70" t="s">
        <v>278</v>
      </c>
      <c r="C70">
        <v>94</v>
      </c>
      <c r="D70">
        <v>89</v>
      </c>
      <c r="E70">
        <v>76</v>
      </c>
      <c r="F70">
        <v>88</v>
      </c>
      <c r="G70" s="9">
        <f t="shared" si="15"/>
        <v>86.75</v>
      </c>
      <c r="H70" s="9">
        <f t="shared" si="17"/>
        <v>2</v>
      </c>
      <c r="I70" t="str">
        <f t="shared" si="16"/>
        <v>PASSED</v>
      </c>
      <c r="J70" t="s">
        <v>276</v>
      </c>
      <c r="K70" t="s">
        <v>274</v>
      </c>
    </row>
    <row r="71" spans="1:11" x14ac:dyDescent="0.25">
      <c r="A71" s="5" t="s">
        <v>33</v>
      </c>
      <c r="B71" t="s">
        <v>277</v>
      </c>
      <c r="C71">
        <v>86</v>
      </c>
      <c r="D71">
        <v>84</v>
      </c>
      <c r="E71">
        <v>77</v>
      </c>
      <c r="F71">
        <v>83</v>
      </c>
      <c r="G71" s="9">
        <f t="shared" si="15"/>
        <v>82.5</v>
      </c>
      <c r="H71" s="9">
        <f t="shared" si="17"/>
        <v>2.5</v>
      </c>
      <c r="I71" t="str">
        <f t="shared" si="16"/>
        <v>PASSED</v>
      </c>
      <c r="J71" t="s">
        <v>270</v>
      </c>
      <c r="K71" t="s">
        <v>274</v>
      </c>
    </row>
    <row r="72" spans="1:11" x14ac:dyDescent="0.25">
      <c r="A72" s="5" t="s">
        <v>33</v>
      </c>
      <c r="B72" t="s">
        <v>273</v>
      </c>
      <c r="C72">
        <v>85</v>
      </c>
      <c r="D72">
        <v>96</v>
      </c>
      <c r="E72">
        <v>93</v>
      </c>
      <c r="F72">
        <v>81</v>
      </c>
      <c r="G72" s="9">
        <v>88.75</v>
      </c>
      <c r="H72" s="9">
        <f t="shared" si="17"/>
        <v>2</v>
      </c>
      <c r="I72" t="s">
        <v>285</v>
      </c>
      <c r="J72" t="s">
        <v>276</v>
      </c>
      <c r="K72" t="s">
        <v>274</v>
      </c>
    </row>
    <row r="73" spans="1:11" x14ac:dyDescent="0.25">
      <c r="A73" s="5" t="s">
        <v>33</v>
      </c>
      <c r="B73" t="s">
        <v>275</v>
      </c>
      <c r="C73">
        <v>85</v>
      </c>
      <c r="D73">
        <v>96</v>
      </c>
      <c r="E73">
        <v>93</v>
      </c>
      <c r="F73">
        <v>81</v>
      </c>
      <c r="G73" s="9">
        <v>88.75</v>
      </c>
      <c r="H73" s="9">
        <f t="shared" si="17"/>
        <v>2</v>
      </c>
      <c r="I73" t="s">
        <v>285</v>
      </c>
      <c r="J73" t="s">
        <v>276</v>
      </c>
      <c r="K73" t="s">
        <v>274</v>
      </c>
    </row>
    <row r="74" spans="1:11" x14ac:dyDescent="0.25">
      <c r="A74" s="5" t="str">
        <f>IFERROR(Students!B12, "Student Not Found")</f>
        <v>Alex Mendoza</v>
      </c>
      <c r="B74" t="s">
        <v>281</v>
      </c>
      <c r="C74">
        <v>77</v>
      </c>
      <c r="D74">
        <v>92</v>
      </c>
      <c r="E74">
        <v>84</v>
      </c>
      <c r="F74">
        <v>91</v>
      </c>
      <c r="G74" s="9">
        <f t="shared" ref="G74:G80" si="18">AVERAGE(C74:F74)</f>
        <v>86</v>
      </c>
      <c r="H74" s="9">
        <f t="shared" si="17"/>
        <v>2</v>
      </c>
      <c r="I74" t="str">
        <f t="shared" ref="I74:I80" si="19">IF(H74&lt;=3,"PASSED","FAILED")</f>
        <v>PASSED</v>
      </c>
      <c r="J74" t="s">
        <v>276</v>
      </c>
      <c r="K74" t="s">
        <v>274</v>
      </c>
    </row>
    <row r="75" spans="1:11" x14ac:dyDescent="0.25">
      <c r="A75" s="5" t="s">
        <v>63</v>
      </c>
      <c r="B75" t="s">
        <v>269</v>
      </c>
      <c r="C75">
        <v>75</v>
      </c>
      <c r="D75">
        <v>96</v>
      </c>
      <c r="E75">
        <v>90</v>
      </c>
      <c r="F75">
        <v>79</v>
      </c>
      <c r="G75" s="9">
        <f t="shared" si="18"/>
        <v>85</v>
      </c>
      <c r="H75" s="9">
        <f t="shared" si="17"/>
        <v>2.25</v>
      </c>
      <c r="I75" t="str">
        <f t="shared" si="19"/>
        <v>PASSED</v>
      </c>
      <c r="J75" t="s">
        <v>270</v>
      </c>
      <c r="K75" t="s">
        <v>274</v>
      </c>
    </row>
    <row r="76" spans="1:11" x14ac:dyDescent="0.25">
      <c r="A76" s="5" t="s">
        <v>63</v>
      </c>
      <c r="B76" t="s">
        <v>272</v>
      </c>
      <c r="C76">
        <v>84</v>
      </c>
      <c r="D76">
        <v>82</v>
      </c>
      <c r="E76">
        <v>85</v>
      </c>
      <c r="F76">
        <v>92</v>
      </c>
      <c r="G76" s="9">
        <f t="shared" si="18"/>
        <v>85.75</v>
      </c>
      <c r="H76" s="9">
        <f t="shared" si="17"/>
        <v>2.25</v>
      </c>
      <c r="I76" t="str">
        <f t="shared" si="19"/>
        <v>PASSED</v>
      </c>
      <c r="J76" t="s">
        <v>279</v>
      </c>
      <c r="K76" t="s">
        <v>271</v>
      </c>
    </row>
    <row r="77" spans="1:11" x14ac:dyDescent="0.25">
      <c r="A77" s="5" t="s">
        <v>63</v>
      </c>
      <c r="B77" t="s">
        <v>280</v>
      </c>
      <c r="C77">
        <v>97</v>
      </c>
      <c r="D77">
        <v>91</v>
      </c>
      <c r="E77">
        <v>81</v>
      </c>
      <c r="F77">
        <v>89</v>
      </c>
      <c r="G77" s="9">
        <f t="shared" si="18"/>
        <v>89.5</v>
      </c>
      <c r="H77" s="9">
        <f t="shared" si="17"/>
        <v>1.75</v>
      </c>
      <c r="I77" t="str">
        <f t="shared" si="19"/>
        <v>PASSED</v>
      </c>
      <c r="J77" t="s">
        <v>270</v>
      </c>
      <c r="K77" t="s">
        <v>274</v>
      </c>
    </row>
    <row r="78" spans="1:11" x14ac:dyDescent="0.25">
      <c r="A78" s="5" t="s">
        <v>63</v>
      </c>
      <c r="B78" t="s">
        <v>282</v>
      </c>
      <c r="C78">
        <v>90</v>
      </c>
      <c r="D78">
        <v>91</v>
      </c>
      <c r="E78">
        <v>91</v>
      </c>
      <c r="F78">
        <v>93</v>
      </c>
      <c r="G78" s="9">
        <f t="shared" si="18"/>
        <v>91.25</v>
      </c>
      <c r="H78" s="9">
        <f t="shared" si="17"/>
        <v>1.5</v>
      </c>
      <c r="I78" t="str">
        <f t="shared" si="19"/>
        <v>PASSED</v>
      </c>
      <c r="J78" t="s">
        <v>276</v>
      </c>
      <c r="K78" t="s">
        <v>274</v>
      </c>
    </row>
    <row r="79" spans="1:11" x14ac:dyDescent="0.25">
      <c r="A79" s="5" t="s">
        <v>63</v>
      </c>
      <c r="B79" t="s">
        <v>278</v>
      </c>
      <c r="C79">
        <v>97</v>
      </c>
      <c r="D79">
        <v>83</v>
      </c>
      <c r="E79">
        <v>78</v>
      </c>
      <c r="F79">
        <v>85</v>
      </c>
      <c r="G79" s="9">
        <f t="shared" si="18"/>
        <v>85.75</v>
      </c>
      <c r="H79" s="9">
        <f t="shared" si="17"/>
        <v>2.25</v>
      </c>
      <c r="I79" t="str">
        <f t="shared" si="19"/>
        <v>PASSED</v>
      </c>
      <c r="J79" t="s">
        <v>270</v>
      </c>
      <c r="K79" t="s">
        <v>271</v>
      </c>
    </row>
    <row r="80" spans="1:11" x14ac:dyDescent="0.25">
      <c r="A80" s="5" t="s">
        <v>63</v>
      </c>
      <c r="B80" t="s">
        <v>277</v>
      </c>
      <c r="C80">
        <v>85</v>
      </c>
      <c r="D80">
        <v>81</v>
      </c>
      <c r="E80">
        <v>92</v>
      </c>
      <c r="F80">
        <v>92</v>
      </c>
      <c r="G80" s="9">
        <f t="shared" si="18"/>
        <v>87.5</v>
      </c>
      <c r="H80" s="9">
        <f t="shared" si="17"/>
        <v>2</v>
      </c>
      <c r="I80" t="str">
        <f t="shared" si="19"/>
        <v>PASSED</v>
      </c>
      <c r="J80" t="s">
        <v>279</v>
      </c>
      <c r="K80" t="s">
        <v>274</v>
      </c>
    </row>
    <row r="81" spans="1:11" x14ac:dyDescent="0.25">
      <c r="A81" s="5" t="s">
        <v>63</v>
      </c>
      <c r="B81" t="s">
        <v>273</v>
      </c>
      <c r="C81">
        <v>77</v>
      </c>
      <c r="D81">
        <v>76</v>
      </c>
      <c r="E81">
        <v>90</v>
      </c>
      <c r="F81">
        <v>96</v>
      </c>
      <c r="G81" s="9">
        <v>84.75</v>
      </c>
      <c r="H81" s="9">
        <f t="shared" si="17"/>
        <v>2.25</v>
      </c>
      <c r="I81" t="s">
        <v>285</v>
      </c>
      <c r="J81" t="s">
        <v>270</v>
      </c>
      <c r="K81" t="s">
        <v>274</v>
      </c>
    </row>
    <row r="82" spans="1:11" x14ac:dyDescent="0.25">
      <c r="A82" s="5" t="s">
        <v>63</v>
      </c>
      <c r="B82" t="s">
        <v>275</v>
      </c>
      <c r="C82">
        <v>77</v>
      </c>
      <c r="D82">
        <v>76</v>
      </c>
      <c r="E82">
        <v>90</v>
      </c>
      <c r="F82">
        <v>96</v>
      </c>
      <c r="G82" s="9">
        <v>84.75</v>
      </c>
      <c r="H82" s="9">
        <f t="shared" si="17"/>
        <v>2.25</v>
      </c>
      <c r="I82" t="s">
        <v>285</v>
      </c>
      <c r="J82" t="s">
        <v>270</v>
      </c>
      <c r="K82" t="s">
        <v>274</v>
      </c>
    </row>
    <row r="83" spans="1:11" x14ac:dyDescent="0.25">
      <c r="A83" s="5" t="str">
        <f>IFERROR(Students!B14, "Student Not Found")</f>
        <v>Alex Morales</v>
      </c>
      <c r="B83" t="s">
        <v>281</v>
      </c>
      <c r="C83">
        <v>95</v>
      </c>
      <c r="D83">
        <v>91</v>
      </c>
      <c r="E83">
        <v>94</v>
      </c>
      <c r="F83">
        <v>85</v>
      </c>
      <c r="G83" s="9">
        <f t="shared" ref="G83:G89" si="20">AVERAGE(C83:F83)</f>
        <v>91.25</v>
      </c>
      <c r="H83" s="9">
        <f t="shared" si="17"/>
        <v>1.5</v>
      </c>
      <c r="I83" t="str">
        <f t="shared" ref="I83:I89" si="21">IF(H83&lt;=3,"PASSED","FAILED")</f>
        <v>PASSED</v>
      </c>
      <c r="J83" t="s">
        <v>270</v>
      </c>
      <c r="K83" t="s">
        <v>274</v>
      </c>
    </row>
    <row r="84" spans="1:11" x14ac:dyDescent="0.25">
      <c r="A84" s="5" t="s">
        <v>73</v>
      </c>
      <c r="B84" t="s">
        <v>269</v>
      </c>
      <c r="C84">
        <v>92</v>
      </c>
      <c r="D84">
        <v>91</v>
      </c>
      <c r="E84">
        <v>88</v>
      </c>
      <c r="F84">
        <v>86</v>
      </c>
      <c r="G84" s="9">
        <f t="shared" si="20"/>
        <v>89.25</v>
      </c>
      <c r="H84" s="9">
        <f t="shared" si="17"/>
        <v>1.75</v>
      </c>
      <c r="I84" t="str">
        <f t="shared" si="21"/>
        <v>PASSED</v>
      </c>
      <c r="J84" t="s">
        <v>270</v>
      </c>
      <c r="K84" t="s">
        <v>274</v>
      </c>
    </row>
    <row r="85" spans="1:11" x14ac:dyDescent="0.25">
      <c r="A85" s="5" t="s">
        <v>73</v>
      </c>
      <c r="B85" t="s">
        <v>272</v>
      </c>
      <c r="C85">
        <v>99</v>
      </c>
      <c r="D85">
        <v>91</v>
      </c>
      <c r="E85">
        <v>89</v>
      </c>
      <c r="F85">
        <v>92</v>
      </c>
      <c r="G85" s="9">
        <f t="shared" si="20"/>
        <v>92.75</v>
      </c>
      <c r="H85" s="9">
        <f t="shared" si="17"/>
        <v>1.5</v>
      </c>
      <c r="I85" t="str">
        <f t="shared" si="21"/>
        <v>PASSED</v>
      </c>
      <c r="J85" t="s">
        <v>270</v>
      </c>
      <c r="K85" t="s">
        <v>271</v>
      </c>
    </row>
    <row r="86" spans="1:11" x14ac:dyDescent="0.25">
      <c r="A86" s="5" t="s">
        <v>73</v>
      </c>
      <c r="B86" t="s">
        <v>280</v>
      </c>
      <c r="C86">
        <v>92</v>
      </c>
      <c r="D86">
        <v>79</v>
      </c>
      <c r="E86">
        <v>93</v>
      </c>
      <c r="F86">
        <v>93</v>
      </c>
      <c r="G86" s="9">
        <f t="shared" si="20"/>
        <v>89.25</v>
      </c>
      <c r="H86" s="9">
        <f t="shared" si="17"/>
        <v>1.75</v>
      </c>
      <c r="I86" t="str">
        <f t="shared" si="21"/>
        <v>PASSED</v>
      </c>
      <c r="J86" t="s">
        <v>279</v>
      </c>
      <c r="K86" t="s">
        <v>271</v>
      </c>
    </row>
    <row r="87" spans="1:11" x14ac:dyDescent="0.25">
      <c r="A87" s="5" t="s">
        <v>73</v>
      </c>
      <c r="B87" t="s">
        <v>282</v>
      </c>
      <c r="C87">
        <v>84</v>
      </c>
      <c r="D87">
        <v>76</v>
      </c>
      <c r="E87">
        <v>95</v>
      </c>
      <c r="F87">
        <v>77</v>
      </c>
      <c r="G87" s="9">
        <f t="shared" si="20"/>
        <v>83</v>
      </c>
      <c r="H87" s="9">
        <f t="shared" si="17"/>
        <v>2.25</v>
      </c>
      <c r="I87" t="str">
        <f t="shared" si="21"/>
        <v>PASSED</v>
      </c>
      <c r="J87" t="s">
        <v>270</v>
      </c>
      <c r="K87" t="s">
        <v>274</v>
      </c>
    </row>
    <row r="88" spans="1:11" x14ac:dyDescent="0.25">
      <c r="A88" s="5" t="s">
        <v>73</v>
      </c>
      <c r="B88" t="s">
        <v>278</v>
      </c>
      <c r="C88">
        <v>98</v>
      </c>
      <c r="D88">
        <v>75</v>
      </c>
      <c r="E88">
        <v>85</v>
      </c>
      <c r="F88">
        <v>81</v>
      </c>
      <c r="G88" s="9">
        <f t="shared" si="20"/>
        <v>84.75</v>
      </c>
      <c r="H88" s="9">
        <f t="shared" si="17"/>
        <v>2.25</v>
      </c>
      <c r="I88" t="str">
        <f t="shared" si="21"/>
        <v>PASSED</v>
      </c>
      <c r="J88" t="s">
        <v>276</v>
      </c>
      <c r="K88" t="s">
        <v>274</v>
      </c>
    </row>
    <row r="89" spans="1:11" x14ac:dyDescent="0.25">
      <c r="A89" s="5" t="s">
        <v>73</v>
      </c>
      <c r="B89" t="s">
        <v>277</v>
      </c>
      <c r="C89">
        <v>94</v>
      </c>
      <c r="D89">
        <v>91</v>
      </c>
      <c r="E89">
        <v>83</v>
      </c>
      <c r="F89">
        <v>77</v>
      </c>
      <c r="G89" s="9">
        <f t="shared" si="20"/>
        <v>86.25</v>
      </c>
      <c r="H89" s="9">
        <f t="shared" si="17"/>
        <v>2</v>
      </c>
      <c r="I89" t="str">
        <f t="shared" si="21"/>
        <v>PASSED</v>
      </c>
      <c r="J89" t="s">
        <v>276</v>
      </c>
      <c r="K89" t="s">
        <v>271</v>
      </c>
    </row>
    <row r="90" spans="1:11" x14ac:dyDescent="0.25">
      <c r="A90" s="5" t="s">
        <v>73</v>
      </c>
      <c r="B90" t="s">
        <v>273</v>
      </c>
      <c r="C90">
        <v>79</v>
      </c>
      <c r="D90">
        <v>92</v>
      </c>
      <c r="E90">
        <v>85</v>
      </c>
      <c r="F90">
        <v>93</v>
      </c>
      <c r="G90" s="9">
        <v>87.25</v>
      </c>
      <c r="H90" s="9">
        <f t="shared" si="17"/>
        <v>2</v>
      </c>
      <c r="I90" t="s">
        <v>285</v>
      </c>
      <c r="J90" t="s">
        <v>270</v>
      </c>
      <c r="K90" t="s">
        <v>271</v>
      </c>
    </row>
    <row r="91" spans="1:11" x14ac:dyDescent="0.25">
      <c r="A91" s="5" t="s">
        <v>73</v>
      </c>
      <c r="B91" t="s">
        <v>275</v>
      </c>
      <c r="C91">
        <v>79</v>
      </c>
      <c r="D91">
        <v>92</v>
      </c>
      <c r="E91">
        <v>85</v>
      </c>
      <c r="F91">
        <v>93</v>
      </c>
      <c r="G91" s="9">
        <v>87.25</v>
      </c>
      <c r="H91" s="9">
        <f t="shared" si="17"/>
        <v>2</v>
      </c>
      <c r="I91" t="s">
        <v>285</v>
      </c>
      <c r="J91" t="s">
        <v>270</v>
      </c>
      <c r="K91" t="s">
        <v>271</v>
      </c>
    </row>
    <row r="92" spans="1:11" x14ac:dyDescent="0.25">
      <c r="A92" s="5" t="str">
        <f>IFERROR(Students!B17, "Student Not Found")</f>
        <v>Alex Perez</v>
      </c>
      <c r="B92" t="s">
        <v>281</v>
      </c>
      <c r="C92">
        <v>82</v>
      </c>
      <c r="D92">
        <v>83</v>
      </c>
      <c r="E92">
        <v>91</v>
      </c>
      <c r="F92">
        <v>98</v>
      </c>
      <c r="G92" s="9">
        <f t="shared" ref="G92:G98" si="22">AVERAGE(C92:F92)</f>
        <v>88.5</v>
      </c>
      <c r="H92" s="9">
        <f t="shared" si="17"/>
        <v>2</v>
      </c>
      <c r="I92" t="str">
        <f t="shared" ref="I92:I98" si="23">IF(H92&lt;=3,"PASSED","FAILED")</f>
        <v>PASSED</v>
      </c>
      <c r="J92" t="s">
        <v>276</v>
      </c>
      <c r="K92" t="s">
        <v>274</v>
      </c>
    </row>
    <row r="93" spans="1:11" x14ac:dyDescent="0.25">
      <c r="A93" s="5" t="s">
        <v>88</v>
      </c>
      <c r="B93" t="s">
        <v>269</v>
      </c>
      <c r="C93">
        <v>98</v>
      </c>
      <c r="D93">
        <v>81</v>
      </c>
      <c r="E93">
        <v>84</v>
      </c>
      <c r="F93">
        <v>76</v>
      </c>
      <c r="G93" s="9">
        <f t="shared" si="22"/>
        <v>84.75</v>
      </c>
      <c r="H93" s="9">
        <f t="shared" si="17"/>
        <v>2.25</v>
      </c>
      <c r="I93" t="str">
        <f t="shared" si="23"/>
        <v>PASSED</v>
      </c>
      <c r="J93" t="s">
        <v>270</v>
      </c>
      <c r="K93" t="s">
        <v>274</v>
      </c>
    </row>
    <row r="94" spans="1:11" x14ac:dyDescent="0.25">
      <c r="A94" s="5" t="s">
        <v>88</v>
      </c>
      <c r="B94" t="s">
        <v>272</v>
      </c>
      <c r="C94">
        <v>97</v>
      </c>
      <c r="D94">
        <v>86</v>
      </c>
      <c r="E94">
        <v>97</v>
      </c>
      <c r="F94">
        <v>99</v>
      </c>
      <c r="G94" s="9">
        <f t="shared" si="22"/>
        <v>94.75</v>
      </c>
      <c r="H94" s="9">
        <f t="shared" si="17"/>
        <v>1.25</v>
      </c>
      <c r="I94" t="str">
        <f t="shared" si="23"/>
        <v>PASSED</v>
      </c>
      <c r="J94" t="s">
        <v>276</v>
      </c>
      <c r="K94" t="s">
        <v>271</v>
      </c>
    </row>
    <row r="95" spans="1:11" x14ac:dyDescent="0.25">
      <c r="A95" s="5" t="s">
        <v>88</v>
      </c>
      <c r="B95" t="s">
        <v>280</v>
      </c>
      <c r="C95">
        <v>86</v>
      </c>
      <c r="D95">
        <v>94</v>
      </c>
      <c r="E95">
        <v>98</v>
      </c>
      <c r="F95">
        <v>95</v>
      </c>
      <c r="G95" s="9">
        <f t="shared" si="22"/>
        <v>93.25</v>
      </c>
      <c r="H95" s="9">
        <f t="shared" si="17"/>
        <v>1.5</v>
      </c>
      <c r="I95" t="str">
        <f t="shared" si="23"/>
        <v>PASSED</v>
      </c>
      <c r="J95" t="s">
        <v>270</v>
      </c>
      <c r="K95" t="s">
        <v>271</v>
      </c>
    </row>
    <row r="96" spans="1:11" x14ac:dyDescent="0.25">
      <c r="A96" s="5" t="s">
        <v>88</v>
      </c>
      <c r="B96" t="s">
        <v>282</v>
      </c>
      <c r="C96">
        <v>80</v>
      </c>
      <c r="D96">
        <v>92</v>
      </c>
      <c r="E96">
        <v>75</v>
      </c>
      <c r="F96">
        <v>89</v>
      </c>
      <c r="G96" s="9">
        <f t="shared" si="22"/>
        <v>84</v>
      </c>
      <c r="H96" s="9">
        <f t="shared" si="17"/>
        <v>2.25</v>
      </c>
      <c r="I96" t="str">
        <f t="shared" si="23"/>
        <v>PASSED</v>
      </c>
      <c r="J96" t="s">
        <v>270</v>
      </c>
      <c r="K96" t="s">
        <v>271</v>
      </c>
    </row>
    <row r="97" spans="1:11" x14ac:dyDescent="0.25">
      <c r="A97" s="5" t="s">
        <v>88</v>
      </c>
      <c r="B97" t="s">
        <v>278</v>
      </c>
      <c r="C97">
        <v>99</v>
      </c>
      <c r="D97">
        <v>90</v>
      </c>
      <c r="E97">
        <v>98</v>
      </c>
      <c r="F97">
        <v>87</v>
      </c>
      <c r="G97" s="9">
        <f t="shared" si="22"/>
        <v>93.5</v>
      </c>
      <c r="H97" s="9">
        <f t="shared" si="17"/>
        <v>1.5</v>
      </c>
      <c r="I97" t="str">
        <f t="shared" si="23"/>
        <v>PASSED</v>
      </c>
      <c r="J97" t="s">
        <v>270</v>
      </c>
      <c r="K97" t="s">
        <v>271</v>
      </c>
    </row>
    <row r="98" spans="1:11" x14ac:dyDescent="0.25">
      <c r="A98" s="5" t="s">
        <v>88</v>
      </c>
      <c r="B98" t="s">
        <v>277</v>
      </c>
      <c r="C98">
        <v>98</v>
      </c>
      <c r="D98">
        <v>75</v>
      </c>
      <c r="E98">
        <v>78</v>
      </c>
      <c r="F98">
        <v>90</v>
      </c>
      <c r="G98" s="9">
        <f t="shared" si="22"/>
        <v>85.25</v>
      </c>
      <c r="H98" s="9">
        <f t="shared" si="17"/>
        <v>2.25</v>
      </c>
      <c r="I98" t="str">
        <f t="shared" si="23"/>
        <v>PASSED</v>
      </c>
      <c r="J98" t="s">
        <v>270</v>
      </c>
      <c r="K98" t="s">
        <v>274</v>
      </c>
    </row>
    <row r="99" spans="1:11" x14ac:dyDescent="0.25">
      <c r="A99" s="5" t="s">
        <v>88</v>
      </c>
      <c r="B99" t="s">
        <v>273</v>
      </c>
      <c r="C99">
        <v>89</v>
      </c>
      <c r="D99">
        <v>79</v>
      </c>
      <c r="E99">
        <v>94</v>
      </c>
      <c r="F99">
        <v>99</v>
      </c>
      <c r="G99" s="9">
        <v>90.25</v>
      </c>
      <c r="H99" s="9">
        <f t="shared" si="17"/>
        <v>1.75</v>
      </c>
      <c r="I99" t="s">
        <v>285</v>
      </c>
      <c r="J99" t="s">
        <v>270</v>
      </c>
      <c r="K99" t="s">
        <v>271</v>
      </c>
    </row>
    <row r="100" spans="1:11" x14ac:dyDescent="0.25">
      <c r="A100" s="5" t="s">
        <v>88</v>
      </c>
      <c r="B100" t="s">
        <v>275</v>
      </c>
      <c r="C100">
        <v>89</v>
      </c>
      <c r="D100">
        <v>79</v>
      </c>
      <c r="E100">
        <v>94</v>
      </c>
      <c r="F100">
        <v>99</v>
      </c>
      <c r="G100" s="9">
        <v>90.25</v>
      </c>
      <c r="H100" s="9">
        <f t="shared" si="17"/>
        <v>1.75</v>
      </c>
      <c r="I100" t="s">
        <v>285</v>
      </c>
      <c r="J100" t="s">
        <v>270</v>
      </c>
      <c r="K100" t="s">
        <v>271</v>
      </c>
    </row>
    <row r="101" spans="1:11" x14ac:dyDescent="0.25">
      <c r="A101" s="5" t="str">
        <f>IFERROR(Students!B8, "Student Not Found")</f>
        <v>Alex Ramos</v>
      </c>
      <c r="B101" t="s">
        <v>281</v>
      </c>
      <c r="C101">
        <v>97</v>
      </c>
      <c r="D101">
        <v>91</v>
      </c>
      <c r="E101">
        <v>81</v>
      </c>
      <c r="F101">
        <v>99</v>
      </c>
      <c r="G101" s="9">
        <f t="shared" ref="G101:G107" si="24">AVERAGE(C101:F101)</f>
        <v>92</v>
      </c>
      <c r="H101" s="9">
        <f t="shared" si="17"/>
        <v>1.5</v>
      </c>
      <c r="I101" t="str">
        <f t="shared" ref="I101:I107" si="25">IF(H101&lt;=3,"PASSED","FAILED")</f>
        <v>PASSED</v>
      </c>
      <c r="J101" t="s">
        <v>276</v>
      </c>
      <c r="K101" t="s">
        <v>274</v>
      </c>
    </row>
    <row r="102" spans="1:11" x14ac:dyDescent="0.25">
      <c r="A102" s="5" t="s">
        <v>43</v>
      </c>
      <c r="B102" t="s">
        <v>269</v>
      </c>
      <c r="C102">
        <v>97</v>
      </c>
      <c r="D102">
        <v>83</v>
      </c>
      <c r="E102">
        <v>75</v>
      </c>
      <c r="F102">
        <v>79</v>
      </c>
      <c r="G102" s="9">
        <f t="shared" si="24"/>
        <v>83.5</v>
      </c>
      <c r="H102" s="9">
        <f t="shared" si="17"/>
        <v>2.25</v>
      </c>
      <c r="I102" t="str">
        <f t="shared" si="25"/>
        <v>PASSED</v>
      </c>
      <c r="J102" t="s">
        <v>270</v>
      </c>
      <c r="K102" t="s">
        <v>271</v>
      </c>
    </row>
    <row r="103" spans="1:11" x14ac:dyDescent="0.25">
      <c r="A103" s="5" t="s">
        <v>43</v>
      </c>
      <c r="B103" t="s">
        <v>272</v>
      </c>
      <c r="C103">
        <v>87</v>
      </c>
      <c r="D103">
        <v>77</v>
      </c>
      <c r="E103">
        <v>80</v>
      </c>
      <c r="F103">
        <v>92</v>
      </c>
      <c r="G103" s="9">
        <f t="shared" si="24"/>
        <v>84</v>
      </c>
      <c r="H103" s="9">
        <f t="shared" si="17"/>
        <v>2.25</v>
      </c>
      <c r="I103" t="str">
        <f t="shared" si="25"/>
        <v>PASSED</v>
      </c>
      <c r="J103" t="s">
        <v>276</v>
      </c>
      <c r="K103" t="s">
        <v>271</v>
      </c>
    </row>
    <row r="104" spans="1:11" x14ac:dyDescent="0.25">
      <c r="A104" s="5" t="s">
        <v>43</v>
      </c>
      <c r="B104" t="s">
        <v>280</v>
      </c>
      <c r="C104">
        <v>96</v>
      </c>
      <c r="D104">
        <v>80</v>
      </c>
      <c r="E104">
        <v>92</v>
      </c>
      <c r="F104">
        <v>81</v>
      </c>
      <c r="G104" s="9">
        <f t="shared" si="24"/>
        <v>87.25</v>
      </c>
      <c r="H104" s="9">
        <f t="shared" si="17"/>
        <v>2</v>
      </c>
      <c r="I104" t="str">
        <f t="shared" si="25"/>
        <v>PASSED</v>
      </c>
      <c r="J104" t="s">
        <v>276</v>
      </c>
      <c r="K104" t="s">
        <v>271</v>
      </c>
    </row>
    <row r="105" spans="1:11" x14ac:dyDescent="0.25">
      <c r="A105" s="5" t="s">
        <v>43</v>
      </c>
      <c r="B105" t="s">
        <v>282</v>
      </c>
      <c r="C105">
        <v>86</v>
      </c>
      <c r="D105">
        <v>83</v>
      </c>
      <c r="E105">
        <v>87</v>
      </c>
      <c r="F105">
        <v>86</v>
      </c>
      <c r="G105" s="9">
        <f t="shared" si="24"/>
        <v>85.5</v>
      </c>
      <c r="H105" s="9">
        <f t="shared" si="17"/>
        <v>2.25</v>
      </c>
      <c r="I105" t="str">
        <f t="shared" si="25"/>
        <v>PASSED</v>
      </c>
      <c r="J105" t="s">
        <v>276</v>
      </c>
      <c r="K105" t="s">
        <v>274</v>
      </c>
    </row>
    <row r="106" spans="1:11" x14ac:dyDescent="0.25">
      <c r="A106" s="5" t="s">
        <v>43</v>
      </c>
      <c r="B106" t="s">
        <v>278</v>
      </c>
      <c r="C106">
        <v>91</v>
      </c>
      <c r="D106">
        <v>91</v>
      </c>
      <c r="E106">
        <v>99</v>
      </c>
      <c r="F106">
        <v>90</v>
      </c>
      <c r="G106" s="9">
        <f t="shared" si="24"/>
        <v>92.75</v>
      </c>
      <c r="H106" s="9">
        <f t="shared" si="17"/>
        <v>1.5</v>
      </c>
      <c r="I106" t="str">
        <f t="shared" si="25"/>
        <v>PASSED</v>
      </c>
      <c r="J106" t="s">
        <v>279</v>
      </c>
      <c r="K106" t="s">
        <v>271</v>
      </c>
    </row>
    <row r="107" spans="1:11" x14ac:dyDescent="0.25">
      <c r="A107" s="5" t="s">
        <v>43</v>
      </c>
      <c r="B107" t="s">
        <v>277</v>
      </c>
      <c r="C107">
        <v>93</v>
      </c>
      <c r="D107">
        <v>89</v>
      </c>
      <c r="E107">
        <v>78</v>
      </c>
      <c r="F107">
        <v>81</v>
      </c>
      <c r="G107" s="9">
        <f t="shared" si="24"/>
        <v>85.25</v>
      </c>
      <c r="H107" s="9">
        <f t="shared" si="17"/>
        <v>2.25</v>
      </c>
      <c r="I107" t="str">
        <f t="shared" si="25"/>
        <v>PASSED</v>
      </c>
      <c r="J107" t="s">
        <v>270</v>
      </c>
      <c r="K107" t="s">
        <v>274</v>
      </c>
    </row>
    <row r="108" spans="1:11" x14ac:dyDescent="0.25">
      <c r="A108" s="5" t="s">
        <v>43</v>
      </c>
      <c r="B108" t="s">
        <v>273</v>
      </c>
      <c r="C108">
        <v>90</v>
      </c>
      <c r="D108">
        <v>98</v>
      </c>
      <c r="E108">
        <v>90</v>
      </c>
      <c r="F108">
        <v>91</v>
      </c>
      <c r="G108" s="9">
        <v>92.25</v>
      </c>
      <c r="H108" s="9">
        <f t="shared" si="17"/>
        <v>1.5</v>
      </c>
      <c r="I108" t="s">
        <v>285</v>
      </c>
      <c r="J108" t="s">
        <v>276</v>
      </c>
      <c r="K108" t="s">
        <v>271</v>
      </c>
    </row>
    <row r="109" spans="1:11" x14ac:dyDescent="0.25">
      <c r="A109" s="5" t="s">
        <v>43</v>
      </c>
      <c r="B109" t="s">
        <v>275</v>
      </c>
      <c r="C109">
        <v>90</v>
      </c>
      <c r="D109">
        <v>98</v>
      </c>
      <c r="E109">
        <v>90</v>
      </c>
      <c r="F109">
        <v>91</v>
      </c>
      <c r="G109" s="9">
        <v>92.25</v>
      </c>
      <c r="H109" s="9">
        <f t="shared" si="17"/>
        <v>1.5</v>
      </c>
      <c r="I109" t="s">
        <v>285</v>
      </c>
      <c r="J109" t="s">
        <v>276</v>
      </c>
      <c r="K109" t="s">
        <v>271</v>
      </c>
    </row>
    <row r="110" spans="1:11" x14ac:dyDescent="0.25">
      <c r="A110" s="5" t="str">
        <f>IFERROR(Students!B4, "Student Not Found")</f>
        <v>Alex Reyes</v>
      </c>
      <c r="B110" t="s">
        <v>281</v>
      </c>
      <c r="C110">
        <v>86</v>
      </c>
      <c r="D110">
        <v>77</v>
      </c>
      <c r="E110">
        <v>80</v>
      </c>
      <c r="F110">
        <v>92</v>
      </c>
      <c r="G110" s="9">
        <f t="shared" ref="G110:G116" si="26">AVERAGE(C110:F110)</f>
        <v>83.75</v>
      </c>
      <c r="H110" s="9">
        <f t="shared" si="17"/>
        <v>2.25</v>
      </c>
      <c r="I110" t="str">
        <f t="shared" ref="I110:I116" si="27">IF(H110&lt;=3,"PASSED","FAILED")</f>
        <v>PASSED</v>
      </c>
      <c r="J110" t="s">
        <v>270</v>
      </c>
      <c r="K110" t="s">
        <v>274</v>
      </c>
    </row>
    <row r="111" spans="1:11" x14ac:dyDescent="0.25">
      <c r="A111" s="5" t="s">
        <v>23</v>
      </c>
      <c r="B111" t="s">
        <v>269</v>
      </c>
      <c r="C111">
        <v>82</v>
      </c>
      <c r="D111">
        <v>86</v>
      </c>
      <c r="E111">
        <v>85</v>
      </c>
      <c r="F111">
        <v>99</v>
      </c>
      <c r="G111" s="9">
        <f t="shared" si="26"/>
        <v>88</v>
      </c>
      <c r="H111" s="9">
        <f t="shared" si="17"/>
        <v>2</v>
      </c>
      <c r="I111" t="str">
        <f t="shared" si="27"/>
        <v>PASSED</v>
      </c>
      <c r="J111" t="s">
        <v>276</v>
      </c>
      <c r="K111" t="s">
        <v>274</v>
      </c>
    </row>
    <row r="112" spans="1:11" x14ac:dyDescent="0.25">
      <c r="A112" s="5" t="s">
        <v>23</v>
      </c>
      <c r="B112" t="s">
        <v>272</v>
      </c>
      <c r="C112">
        <v>97</v>
      </c>
      <c r="D112">
        <v>80</v>
      </c>
      <c r="E112">
        <v>86</v>
      </c>
      <c r="F112">
        <v>84</v>
      </c>
      <c r="G112" s="9">
        <f t="shared" si="26"/>
        <v>86.75</v>
      </c>
      <c r="H112" s="9">
        <f t="shared" si="17"/>
        <v>2</v>
      </c>
      <c r="I112" t="str">
        <f t="shared" si="27"/>
        <v>PASSED</v>
      </c>
      <c r="J112" t="s">
        <v>270</v>
      </c>
      <c r="K112" t="s">
        <v>274</v>
      </c>
    </row>
    <row r="113" spans="1:11" x14ac:dyDescent="0.25">
      <c r="A113" s="5" t="s">
        <v>23</v>
      </c>
      <c r="B113" t="s">
        <v>280</v>
      </c>
      <c r="C113">
        <v>87</v>
      </c>
      <c r="D113">
        <v>91</v>
      </c>
      <c r="E113">
        <v>78</v>
      </c>
      <c r="F113">
        <v>80</v>
      </c>
      <c r="G113" s="9">
        <f t="shared" si="26"/>
        <v>84</v>
      </c>
      <c r="H113" s="9">
        <f t="shared" si="17"/>
        <v>2.25</v>
      </c>
      <c r="I113" t="str">
        <f t="shared" si="27"/>
        <v>PASSED</v>
      </c>
      <c r="J113" t="s">
        <v>276</v>
      </c>
      <c r="K113" t="s">
        <v>274</v>
      </c>
    </row>
    <row r="114" spans="1:11" x14ac:dyDescent="0.25">
      <c r="A114" s="5" t="s">
        <v>23</v>
      </c>
      <c r="B114" t="s">
        <v>282</v>
      </c>
      <c r="C114">
        <v>85</v>
      </c>
      <c r="D114">
        <v>89</v>
      </c>
      <c r="E114">
        <v>75</v>
      </c>
      <c r="F114">
        <v>85</v>
      </c>
      <c r="G114" s="9">
        <f t="shared" si="26"/>
        <v>83.5</v>
      </c>
      <c r="H114" s="9">
        <f t="shared" si="17"/>
        <v>2.25</v>
      </c>
      <c r="I114" t="str">
        <f t="shared" si="27"/>
        <v>PASSED</v>
      </c>
      <c r="J114" t="s">
        <v>270</v>
      </c>
      <c r="K114" t="s">
        <v>271</v>
      </c>
    </row>
    <row r="115" spans="1:11" x14ac:dyDescent="0.25">
      <c r="A115" s="5" t="s">
        <v>23</v>
      </c>
      <c r="B115" t="s">
        <v>278</v>
      </c>
      <c r="C115">
        <v>96</v>
      </c>
      <c r="D115">
        <v>83</v>
      </c>
      <c r="E115">
        <v>98</v>
      </c>
      <c r="F115">
        <v>85</v>
      </c>
      <c r="G115" s="9">
        <f t="shared" si="26"/>
        <v>90.5</v>
      </c>
      <c r="H115" s="9">
        <f t="shared" si="17"/>
        <v>1.75</v>
      </c>
      <c r="I115" t="str">
        <f t="shared" si="27"/>
        <v>PASSED</v>
      </c>
      <c r="J115" t="s">
        <v>276</v>
      </c>
      <c r="K115" t="s">
        <v>271</v>
      </c>
    </row>
    <row r="116" spans="1:11" x14ac:dyDescent="0.25">
      <c r="A116" s="5" t="s">
        <v>23</v>
      </c>
      <c r="B116" t="s">
        <v>277</v>
      </c>
      <c r="C116">
        <v>91</v>
      </c>
      <c r="D116">
        <v>99</v>
      </c>
      <c r="E116">
        <v>77</v>
      </c>
      <c r="F116">
        <v>95</v>
      </c>
      <c r="G116" s="9">
        <f t="shared" si="26"/>
        <v>90.5</v>
      </c>
      <c r="H116" s="9">
        <f t="shared" si="17"/>
        <v>1.75</v>
      </c>
      <c r="I116" t="str">
        <f t="shared" si="27"/>
        <v>PASSED</v>
      </c>
      <c r="J116" t="s">
        <v>270</v>
      </c>
      <c r="K116" t="s">
        <v>274</v>
      </c>
    </row>
    <row r="117" spans="1:11" x14ac:dyDescent="0.25">
      <c r="A117" s="5" t="s">
        <v>23</v>
      </c>
      <c r="B117" t="s">
        <v>273</v>
      </c>
      <c r="C117">
        <v>80</v>
      </c>
      <c r="D117">
        <v>80</v>
      </c>
      <c r="E117">
        <v>88</v>
      </c>
      <c r="F117">
        <v>87</v>
      </c>
      <c r="G117" s="9">
        <v>83.75</v>
      </c>
      <c r="H117" s="9">
        <f t="shared" si="17"/>
        <v>2.25</v>
      </c>
      <c r="I117" t="s">
        <v>285</v>
      </c>
      <c r="J117" t="s">
        <v>279</v>
      </c>
      <c r="K117" t="s">
        <v>271</v>
      </c>
    </row>
    <row r="118" spans="1:11" x14ac:dyDescent="0.25">
      <c r="A118" s="5" t="s">
        <v>23</v>
      </c>
      <c r="B118" t="s">
        <v>275</v>
      </c>
      <c r="C118">
        <v>80</v>
      </c>
      <c r="D118">
        <v>80</v>
      </c>
      <c r="E118">
        <v>88</v>
      </c>
      <c r="F118">
        <v>87</v>
      </c>
      <c r="G118" s="9">
        <v>83.75</v>
      </c>
      <c r="H118" s="9">
        <f t="shared" si="17"/>
        <v>2.25</v>
      </c>
      <c r="I118" t="s">
        <v>285</v>
      </c>
      <c r="J118" t="s">
        <v>279</v>
      </c>
      <c r="K118" t="s">
        <v>271</v>
      </c>
    </row>
    <row r="119" spans="1:11" x14ac:dyDescent="0.25">
      <c r="A119" s="5" t="str">
        <f>IFERROR(Students!B11, "Student Not Found")</f>
        <v>Alex Rivera</v>
      </c>
      <c r="B119" t="s">
        <v>281</v>
      </c>
      <c r="C119">
        <v>86</v>
      </c>
      <c r="D119">
        <v>91</v>
      </c>
      <c r="E119">
        <v>95</v>
      </c>
      <c r="F119">
        <v>83</v>
      </c>
      <c r="G119" s="9">
        <f t="shared" ref="G119:G125" si="28">AVERAGE(C119:F119)</f>
        <v>88.75</v>
      </c>
      <c r="H119" s="9">
        <f t="shared" si="17"/>
        <v>2</v>
      </c>
      <c r="I119" t="str">
        <f t="shared" ref="I119:I125" si="29">IF(H119&lt;=3,"PASSED","FAILED")</f>
        <v>PASSED</v>
      </c>
      <c r="J119" t="s">
        <v>279</v>
      </c>
      <c r="K119" t="s">
        <v>274</v>
      </c>
    </row>
    <row r="120" spans="1:11" x14ac:dyDescent="0.25">
      <c r="A120" s="5" t="s">
        <v>58</v>
      </c>
      <c r="B120" t="s">
        <v>269</v>
      </c>
      <c r="C120">
        <v>81</v>
      </c>
      <c r="D120">
        <v>79</v>
      </c>
      <c r="E120">
        <v>76</v>
      </c>
      <c r="F120">
        <v>85</v>
      </c>
      <c r="G120" s="9">
        <f t="shared" si="28"/>
        <v>80.25</v>
      </c>
      <c r="H120" s="9">
        <f t="shared" si="17"/>
        <v>2.5</v>
      </c>
      <c r="I120" t="str">
        <f t="shared" si="29"/>
        <v>PASSED</v>
      </c>
      <c r="J120" t="s">
        <v>270</v>
      </c>
      <c r="K120" t="s">
        <v>274</v>
      </c>
    </row>
    <row r="121" spans="1:11" x14ac:dyDescent="0.25">
      <c r="A121" s="5" t="s">
        <v>58</v>
      </c>
      <c r="B121" t="s">
        <v>272</v>
      </c>
      <c r="C121">
        <v>91</v>
      </c>
      <c r="D121">
        <v>89</v>
      </c>
      <c r="E121">
        <v>92</v>
      </c>
      <c r="F121">
        <v>92</v>
      </c>
      <c r="G121" s="9">
        <f t="shared" si="28"/>
        <v>91</v>
      </c>
      <c r="H121" s="9">
        <f t="shared" si="17"/>
        <v>1.5</v>
      </c>
      <c r="I121" t="str">
        <f t="shared" si="29"/>
        <v>PASSED</v>
      </c>
      <c r="J121" t="s">
        <v>270</v>
      </c>
      <c r="K121" t="s">
        <v>271</v>
      </c>
    </row>
    <row r="122" spans="1:11" x14ac:dyDescent="0.25">
      <c r="A122" s="5" t="s">
        <v>58</v>
      </c>
      <c r="B122" t="s">
        <v>280</v>
      </c>
      <c r="C122">
        <v>80</v>
      </c>
      <c r="D122">
        <v>81</v>
      </c>
      <c r="E122">
        <v>88</v>
      </c>
      <c r="F122">
        <v>95</v>
      </c>
      <c r="G122" s="9">
        <f t="shared" si="28"/>
        <v>86</v>
      </c>
      <c r="H122" s="9">
        <f t="shared" si="17"/>
        <v>2</v>
      </c>
      <c r="I122" t="str">
        <f t="shared" si="29"/>
        <v>PASSED</v>
      </c>
      <c r="J122" t="s">
        <v>276</v>
      </c>
      <c r="K122" t="s">
        <v>271</v>
      </c>
    </row>
    <row r="123" spans="1:11" x14ac:dyDescent="0.25">
      <c r="A123" s="5" t="s">
        <v>58</v>
      </c>
      <c r="B123" t="s">
        <v>282</v>
      </c>
      <c r="C123">
        <v>95</v>
      </c>
      <c r="D123">
        <v>88</v>
      </c>
      <c r="E123">
        <v>82</v>
      </c>
      <c r="F123">
        <v>76</v>
      </c>
      <c r="G123" s="9">
        <f t="shared" si="28"/>
        <v>85.25</v>
      </c>
      <c r="H123" s="9">
        <f t="shared" si="17"/>
        <v>2.25</v>
      </c>
      <c r="I123" t="str">
        <f t="shared" si="29"/>
        <v>PASSED</v>
      </c>
      <c r="J123" t="s">
        <v>270</v>
      </c>
      <c r="K123" t="s">
        <v>271</v>
      </c>
    </row>
    <row r="124" spans="1:11" x14ac:dyDescent="0.25">
      <c r="A124" s="5" t="s">
        <v>58</v>
      </c>
      <c r="B124" t="s">
        <v>278</v>
      </c>
      <c r="C124">
        <v>88</v>
      </c>
      <c r="D124">
        <v>81</v>
      </c>
      <c r="E124">
        <v>94</v>
      </c>
      <c r="F124">
        <v>95</v>
      </c>
      <c r="G124" s="9">
        <f t="shared" si="28"/>
        <v>89.5</v>
      </c>
      <c r="H124" s="9">
        <f t="shared" si="17"/>
        <v>1.75</v>
      </c>
      <c r="I124" t="str">
        <f t="shared" si="29"/>
        <v>PASSED</v>
      </c>
      <c r="J124" t="s">
        <v>270</v>
      </c>
      <c r="K124" t="s">
        <v>274</v>
      </c>
    </row>
    <row r="125" spans="1:11" x14ac:dyDescent="0.25">
      <c r="A125" s="5" t="s">
        <v>58</v>
      </c>
      <c r="B125" t="s">
        <v>277</v>
      </c>
      <c r="C125">
        <v>75</v>
      </c>
      <c r="D125">
        <v>87</v>
      </c>
      <c r="E125">
        <v>83</v>
      </c>
      <c r="F125">
        <v>89</v>
      </c>
      <c r="G125" s="9">
        <f t="shared" si="28"/>
        <v>83.5</v>
      </c>
      <c r="H125" s="9">
        <f t="shared" si="17"/>
        <v>2.25</v>
      </c>
      <c r="I125" t="str">
        <f t="shared" si="29"/>
        <v>PASSED</v>
      </c>
      <c r="J125" t="s">
        <v>270</v>
      </c>
      <c r="K125" t="s">
        <v>271</v>
      </c>
    </row>
    <row r="126" spans="1:11" x14ac:dyDescent="0.25">
      <c r="A126" s="5" t="s">
        <v>58</v>
      </c>
      <c r="B126" t="s">
        <v>273</v>
      </c>
      <c r="C126">
        <v>96</v>
      </c>
      <c r="D126">
        <v>94</v>
      </c>
      <c r="E126">
        <v>94</v>
      </c>
      <c r="F126">
        <v>95</v>
      </c>
      <c r="G126" s="9">
        <v>94.75</v>
      </c>
      <c r="H126" s="9">
        <f t="shared" si="17"/>
        <v>1.25</v>
      </c>
      <c r="I126" t="s">
        <v>285</v>
      </c>
      <c r="J126" t="s">
        <v>276</v>
      </c>
      <c r="K126" t="s">
        <v>274</v>
      </c>
    </row>
    <row r="127" spans="1:11" x14ac:dyDescent="0.25">
      <c r="A127" s="5" t="s">
        <v>58</v>
      </c>
      <c r="B127" t="s">
        <v>275</v>
      </c>
      <c r="C127">
        <v>96</v>
      </c>
      <c r="D127">
        <v>94</v>
      </c>
      <c r="E127">
        <v>94</v>
      </c>
      <c r="F127">
        <v>95</v>
      </c>
      <c r="G127" s="9">
        <v>94.75</v>
      </c>
      <c r="H127" s="9">
        <f t="shared" si="17"/>
        <v>1.25</v>
      </c>
      <c r="I127" t="s">
        <v>285</v>
      </c>
      <c r="J127" t="s">
        <v>276</v>
      </c>
      <c r="K127" t="s">
        <v>274</v>
      </c>
    </row>
    <row r="128" spans="1:11" x14ac:dyDescent="0.25">
      <c r="A128" s="5" t="str">
        <f>IFERROR(Students!B2, "Student Not Found")</f>
        <v>Alex Santos</v>
      </c>
      <c r="B128" t="s">
        <v>281</v>
      </c>
      <c r="C128">
        <v>93</v>
      </c>
      <c r="D128">
        <v>96</v>
      </c>
      <c r="E128">
        <v>84</v>
      </c>
      <c r="F128">
        <v>78</v>
      </c>
      <c r="G128" s="9">
        <f t="shared" ref="G128:G134" si="30">AVERAGE(C128:F128)</f>
        <v>87.75</v>
      </c>
      <c r="H128" s="9">
        <f t="shared" si="17"/>
        <v>2</v>
      </c>
      <c r="I128" t="str">
        <f t="shared" ref="I128:I134" si="31">IF(H128&lt;=3,"PASSED","FAILED")</f>
        <v>PASSED</v>
      </c>
      <c r="J128" t="s">
        <v>279</v>
      </c>
      <c r="K128" t="s">
        <v>274</v>
      </c>
    </row>
    <row r="129" spans="1:11" x14ac:dyDescent="0.25">
      <c r="A129" s="5" t="s">
        <v>9</v>
      </c>
      <c r="B129" t="s">
        <v>269</v>
      </c>
      <c r="C129">
        <v>79</v>
      </c>
      <c r="D129">
        <v>93</v>
      </c>
      <c r="E129">
        <v>84</v>
      </c>
      <c r="F129">
        <v>82</v>
      </c>
      <c r="G129" s="9">
        <f t="shared" si="30"/>
        <v>84.5</v>
      </c>
      <c r="H129" s="9">
        <f t="shared" si="17"/>
        <v>2.25</v>
      </c>
      <c r="I129" t="str">
        <f t="shared" si="31"/>
        <v>PASSED</v>
      </c>
      <c r="J129" t="s">
        <v>279</v>
      </c>
      <c r="K129" t="s">
        <v>271</v>
      </c>
    </row>
    <row r="130" spans="1:11" x14ac:dyDescent="0.25">
      <c r="A130" s="5" t="s">
        <v>9</v>
      </c>
      <c r="B130" t="s">
        <v>272</v>
      </c>
      <c r="C130">
        <v>95</v>
      </c>
      <c r="D130">
        <v>84</v>
      </c>
      <c r="E130">
        <v>77</v>
      </c>
      <c r="F130">
        <v>90</v>
      </c>
      <c r="G130" s="9">
        <f t="shared" si="30"/>
        <v>86.5</v>
      </c>
      <c r="H130" s="9">
        <f t="shared" si="17"/>
        <v>2</v>
      </c>
      <c r="I130" t="str">
        <f t="shared" si="31"/>
        <v>PASSED</v>
      </c>
      <c r="J130" t="s">
        <v>270</v>
      </c>
      <c r="K130" t="s">
        <v>274</v>
      </c>
    </row>
    <row r="131" spans="1:11" x14ac:dyDescent="0.25">
      <c r="A131" s="5" t="s">
        <v>9</v>
      </c>
      <c r="B131" t="s">
        <v>280</v>
      </c>
      <c r="C131">
        <v>96</v>
      </c>
      <c r="D131">
        <v>84</v>
      </c>
      <c r="E131">
        <v>84</v>
      </c>
      <c r="F131">
        <v>96</v>
      </c>
      <c r="G131" s="9">
        <f t="shared" si="30"/>
        <v>90</v>
      </c>
      <c r="H131" s="9">
        <f t="shared" ref="H131:H194" si="32">IF(G131&gt;=96,1,IF(G131&gt;=94,1.25,IF(G131&gt;=91,1.5,IF(G131&gt;=89,1.75,IF(G131&gt;=86,2,IF(G131&gt;=83,2.25,IF(G131&gt;=80,2.5,IF(G131&gt;=77,2.75,IF(G131&gt;=75,3,5)))))))))</f>
        <v>1.75</v>
      </c>
      <c r="I131" t="str">
        <f t="shared" si="31"/>
        <v>PASSED</v>
      </c>
      <c r="J131" t="s">
        <v>270</v>
      </c>
      <c r="K131" t="s">
        <v>274</v>
      </c>
    </row>
    <row r="132" spans="1:11" x14ac:dyDescent="0.25">
      <c r="A132" s="5" t="s">
        <v>9</v>
      </c>
      <c r="B132" t="s">
        <v>282</v>
      </c>
      <c r="C132">
        <v>97</v>
      </c>
      <c r="D132">
        <v>83</v>
      </c>
      <c r="E132">
        <v>88</v>
      </c>
      <c r="F132">
        <v>91</v>
      </c>
      <c r="G132" s="9">
        <f t="shared" si="30"/>
        <v>89.75</v>
      </c>
      <c r="H132" s="9">
        <f t="shared" si="32"/>
        <v>1.75</v>
      </c>
      <c r="I132" t="str">
        <f t="shared" si="31"/>
        <v>PASSED</v>
      </c>
      <c r="J132" t="s">
        <v>270</v>
      </c>
      <c r="K132" t="s">
        <v>274</v>
      </c>
    </row>
    <row r="133" spans="1:11" x14ac:dyDescent="0.25">
      <c r="A133" s="5" t="s">
        <v>9</v>
      </c>
      <c r="B133" t="s">
        <v>278</v>
      </c>
      <c r="C133">
        <v>85</v>
      </c>
      <c r="D133">
        <v>95</v>
      </c>
      <c r="E133">
        <v>98</v>
      </c>
      <c r="F133">
        <v>86</v>
      </c>
      <c r="G133" s="9">
        <f t="shared" si="30"/>
        <v>91</v>
      </c>
      <c r="H133" s="9">
        <f t="shared" si="32"/>
        <v>1.5</v>
      </c>
      <c r="I133" t="str">
        <f t="shared" si="31"/>
        <v>PASSED</v>
      </c>
      <c r="J133" t="s">
        <v>270</v>
      </c>
      <c r="K133" t="s">
        <v>271</v>
      </c>
    </row>
    <row r="134" spans="1:11" x14ac:dyDescent="0.25">
      <c r="A134" s="5" t="s">
        <v>9</v>
      </c>
      <c r="B134" t="s">
        <v>277</v>
      </c>
      <c r="C134">
        <v>80</v>
      </c>
      <c r="D134">
        <v>86</v>
      </c>
      <c r="E134">
        <v>81</v>
      </c>
      <c r="F134">
        <v>86</v>
      </c>
      <c r="G134" s="9">
        <f t="shared" si="30"/>
        <v>83.25</v>
      </c>
      <c r="H134" s="9">
        <f t="shared" si="32"/>
        <v>2.25</v>
      </c>
      <c r="I134" t="str">
        <f t="shared" si="31"/>
        <v>PASSED</v>
      </c>
      <c r="J134" t="s">
        <v>279</v>
      </c>
      <c r="K134" t="s">
        <v>274</v>
      </c>
    </row>
    <row r="135" spans="1:11" x14ac:dyDescent="0.25">
      <c r="A135" s="5" t="s">
        <v>9</v>
      </c>
      <c r="B135" t="s">
        <v>273</v>
      </c>
      <c r="C135">
        <v>95</v>
      </c>
      <c r="D135">
        <v>91</v>
      </c>
      <c r="E135">
        <v>94</v>
      </c>
      <c r="F135">
        <v>85</v>
      </c>
      <c r="G135" s="9">
        <v>91.25</v>
      </c>
      <c r="H135" s="9">
        <f t="shared" si="32"/>
        <v>1.5</v>
      </c>
      <c r="I135" t="s">
        <v>285</v>
      </c>
      <c r="J135" t="s">
        <v>270</v>
      </c>
      <c r="K135" t="s">
        <v>274</v>
      </c>
    </row>
    <row r="136" spans="1:11" x14ac:dyDescent="0.25">
      <c r="A136" s="5" t="s">
        <v>9</v>
      </c>
      <c r="B136" t="s">
        <v>275</v>
      </c>
      <c r="C136">
        <v>95</v>
      </c>
      <c r="D136">
        <v>91</v>
      </c>
      <c r="E136">
        <v>94</v>
      </c>
      <c r="F136">
        <v>85</v>
      </c>
      <c r="G136" s="9">
        <v>91.25</v>
      </c>
      <c r="H136" s="9">
        <f t="shared" si="32"/>
        <v>1.5</v>
      </c>
      <c r="I136" t="s">
        <v>285</v>
      </c>
      <c r="J136" t="s">
        <v>270</v>
      </c>
      <c r="K136" t="s">
        <v>274</v>
      </c>
    </row>
    <row r="137" spans="1:11" x14ac:dyDescent="0.25">
      <c r="A137" s="5" t="str">
        <f>IFERROR(Students!B10, "Student Not Found")</f>
        <v>Alex Torres</v>
      </c>
      <c r="B137" t="s">
        <v>281</v>
      </c>
      <c r="C137">
        <v>75</v>
      </c>
      <c r="D137">
        <v>86</v>
      </c>
      <c r="E137">
        <v>79</v>
      </c>
      <c r="F137">
        <v>77</v>
      </c>
      <c r="G137" s="9">
        <f t="shared" ref="G137:G143" si="33">AVERAGE(C137:F137)</f>
        <v>79.25</v>
      </c>
      <c r="H137" s="9">
        <f t="shared" si="32"/>
        <v>2.75</v>
      </c>
      <c r="I137" t="str">
        <f t="shared" ref="I137:I143" si="34">IF(H137&lt;=3,"PASSED","FAILED")</f>
        <v>PASSED</v>
      </c>
      <c r="J137" t="s">
        <v>276</v>
      </c>
      <c r="K137" t="s">
        <v>271</v>
      </c>
    </row>
    <row r="138" spans="1:11" x14ac:dyDescent="0.25">
      <c r="A138" s="5" t="s">
        <v>53</v>
      </c>
      <c r="B138" t="s">
        <v>269</v>
      </c>
      <c r="C138">
        <v>77</v>
      </c>
      <c r="D138">
        <v>93</v>
      </c>
      <c r="E138">
        <v>94</v>
      </c>
      <c r="F138">
        <v>83</v>
      </c>
      <c r="G138" s="9">
        <f t="shared" si="33"/>
        <v>86.75</v>
      </c>
      <c r="H138" s="9">
        <f t="shared" si="32"/>
        <v>2</v>
      </c>
      <c r="I138" t="str">
        <f t="shared" si="34"/>
        <v>PASSED</v>
      </c>
      <c r="J138" t="s">
        <v>276</v>
      </c>
      <c r="K138" t="s">
        <v>271</v>
      </c>
    </row>
    <row r="139" spans="1:11" x14ac:dyDescent="0.25">
      <c r="A139" s="5" t="s">
        <v>53</v>
      </c>
      <c r="B139" t="s">
        <v>272</v>
      </c>
      <c r="C139">
        <v>77</v>
      </c>
      <c r="D139">
        <v>83</v>
      </c>
      <c r="E139">
        <v>87</v>
      </c>
      <c r="F139">
        <v>96</v>
      </c>
      <c r="G139" s="9">
        <f t="shared" si="33"/>
        <v>85.75</v>
      </c>
      <c r="H139" s="9">
        <f t="shared" si="32"/>
        <v>2.25</v>
      </c>
      <c r="I139" t="str">
        <f t="shared" si="34"/>
        <v>PASSED</v>
      </c>
      <c r="J139" t="s">
        <v>276</v>
      </c>
      <c r="K139" t="s">
        <v>274</v>
      </c>
    </row>
    <row r="140" spans="1:11" x14ac:dyDescent="0.25">
      <c r="A140" s="5" t="s">
        <v>53</v>
      </c>
      <c r="B140" t="s">
        <v>280</v>
      </c>
      <c r="C140">
        <v>80</v>
      </c>
      <c r="D140">
        <v>90</v>
      </c>
      <c r="E140">
        <v>92</v>
      </c>
      <c r="F140">
        <v>96</v>
      </c>
      <c r="G140" s="9">
        <f t="shared" si="33"/>
        <v>89.5</v>
      </c>
      <c r="H140" s="9">
        <f t="shared" si="32"/>
        <v>1.75</v>
      </c>
      <c r="I140" t="str">
        <f t="shared" si="34"/>
        <v>PASSED</v>
      </c>
      <c r="J140" t="s">
        <v>270</v>
      </c>
      <c r="K140" t="s">
        <v>274</v>
      </c>
    </row>
    <row r="141" spans="1:11" x14ac:dyDescent="0.25">
      <c r="A141" s="5" t="s">
        <v>53</v>
      </c>
      <c r="B141" t="s">
        <v>282</v>
      </c>
      <c r="C141">
        <v>95</v>
      </c>
      <c r="D141">
        <v>81</v>
      </c>
      <c r="E141">
        <v>93</v>
      </c>
      <c r="F141">
        <v>83</v>
      </c>
      <c r="G141" s="9">
        <f t="shared" si="33"/>
        <v>88</v>
      </c>
      <c r="H141" s="9">
        <f t="shared" si="32"/>
        <v>2</v>
      </c>
      <c r="I141" t="str">
        <f t="shared" si="34"/>
        <v>PASSED</v>
      </c>
      <c r="J141" t="s">
        <v>270</v>
      </c>
      <c r="K141" t="s">
        <v>274</v>
      </c>
    </row>
    <row r="142" spans="1:11" x14ac:dyDescent="0.25">
      <c r="A142" s="5" t="s">
        <v>53</v>
      </c>
      <c r="B142" t="s">
        <v>278</v>
      </c>
      <c r="C142">
        <v>79</v>
      </c>
      <c r="D142">
        <v>92</v>
      </c>
      <c r="E142">
        <v>89</v>
      </c>
      <c r="F142">
        <v>99</v>
      </c>
      <c r="G142" s="9">
        <f t="shared" si="33"/>
        <v>89.75</v>
      </c>
      <c r="H142" s="9">
        <f t="shared" si="32"/>
        <v>1.75</v>
      </c>
      <c r="I142" t="str">
        <f t="shared" si="34"/>
        <v>PASSED</v>
      </c>
      <c r="J142" t="s">
        <v>279</v>
      </c>
      <c r="K142" t="s">
        <v>271</v>
      </c>
    </row>
    <row r="143" spans="1:11" x14ac:dyDescent="0.25">
      <c r="A143" s="5" t="s">
        <v>53</v>
      </c>
      <c r="B143" t="s">
        <v>277</v>
      </c>
      <c r="C143">
        <v>90</v>
      </c>
      <c r="D143">
        <v>94</v>
      </c>
      <c r="E143">
        <v>89</v>
      </c>
      <c r="F143">
        <v>91</v>
      </c>
      <c r="G143" s="9">
        <f t="shared" si="33"/>
        <v>91</v>
      </c>
      <c r="H143" s="9">
        <f t="shared" si="32"/>
        <v>1.5</v>
      </c>
      <c r="I143" t="str">
        <f t="shared" si="34"/>
        <v>PASSED</v>
      </c>
      <c r="J143" t="s">
        <v>270</v>
      </c>
      <c r="K143" t="s">
        <v>271</v>
      </c>
    </row>
    <row r="144" spans="1:11" x14ac:dyDescent="0.25">
      <c r="A144" s="5" t="s">
        <v>53</v>
      </c>
      <c r="B144" t="s">
        <v>273</v>
      </c>
      <c r="C144">
        <v>83</v>
      </c>
      <c r="D144">
        <v>78</v>
      </c>
      <c r="E144">
        <v>79</v>
      </c>
      <c r="F144">
        <v>86</v>
      </c>
      <c r="G144" s="9">
        <v>81.5</v>
      </c>
      <c r="H144" s="9">
        <f t="shared" si="32"/>
        <v>2.5</v>
      </c>
      <c r="I144" t="s">
        <v>285</v>
      </c>
      <c r="J144" t="s">
        <v>276</v>
      </c>
      <c r="K144" t="s">
        <v>271</v>
      </c>
    </row>
    <row r="145" spans="1:11" x14ac:dyDescent="0.25">
      <c r="A145" s="5" t="s">
        <v>53</v>
      </c>
      <c r="B145" t="s">
        <v>275</v>
      </c>
      <c r="C145">
        <v>83</v>
      </c>
      <c r="D145">
        <v>78</v>
      </c>
      <c r="E145">
        <v>79</v>
      </c>
      <c r="F145">
        <v>86</v>
      </c>
      <c r="G145" s="9">
        <v>81.5</v>
      </c>
      <c r="H145" s="9">
        <f t="shared" si="32"/>
        <v>2.5</v>
      </c>
      <c r="I145" t="s">
        <v>285</v>
      </c>
      <c r="J145" t="s">
        <v>276</v>
      </c>
      <c r="K145" t="s">
        <v>271</v>
      </c>
    </row>
    <row r="146" spans="1:11" x14ac:dyDescent="0.25">
      <c r="A146" s="5" t="str">
        <f>IFERROR(Students!B29, "Student Not Found")</f>
        <v>Bea Aquino</v>
      </c>
      <c r="B146" t="s">
        <v>281</v>
      </c>
      <c r="C146">
        <v>89</v>
      </c>
      <c r="D146">
        <v>79</v>
      </c>
      <c r="E146">
        <v>94</v>
      </c>
      <c r="F146">
        <v>99</v>
      </c>
      <c r="G146" s="9">
        <f t="shared" ref="G146:G152" si="35">AVERAGE(C146:F146)</f>
        <v>90.25</v>
      </c>
      <c r="H146" s="9">
        <f t="shared" si="32"/>
        <v>1.75</v>
      </c>
      <c r="I146" t="str">
        <f t="shared" ref="I146:I152" si="36">IF(H146&lt;=3,"PASSED","FAILED")</f>
        <v>PASSED</v>
      </c>
      <c r="J146" t="s">
        <v>270</v>
      </c>
      <c r="K146" t="s">
        <v>271</v>
      </c>
    </row>
    <row r="147" spans="1:11" x14ac:dyDescent="0.25">
      <c r="A147" s="5" t="s">
        <v>148</v>
      </c>
      <c r="B147" t="s">
        <v>269</v>
      </c>
      <c r="C147">
        <v>76</v>
      </c>
      <c r="D147">
        <v>81</v>
      </c>
      <c r="E147">
        <v>85</v>
      </c>
      <c r="F147">
        <v>78</v>
      </c>
      <c r="G147" s="9">
        <f t="shared" si="35"/>
        <v>80</v>
      </c>
      <c r="H147" s="9">
        <f t="shared" si="32"/>
        <v>2.5</v>
      </c>
      <c r="I147" t="str">
        <f t="shared" si="36"/>
        <v>PASSED</v>
      </c>
      <c r="J147" t="s">
        <v>279</v>
      </c>
      <c r="K147" t="s">
        <v>271</v>
      </c>
    </row>
    <row r="148" spans="1:11" x14ac:dyDescent="0.25">
      <c r="A148" s="5" t="s">
        <v>148</v>
      </c>
      <c r="B148" t="s">
        <v>272</v>
      </c>
      <c r="C148">
        <v>80</v>
      </c>
      <c r="D148">
        <v>76</v>
      </c>
      <c r="E148">
        <v>76</v>
      </c>
      <c r="F148">
        <v>82</v>
      </c>
      <c r="G148" s="9">
        <f t="shared" si="35"/>
        <v>78.5</v>
      </c>
      <c r="H148" s="9">
        <f t="shared" si="32"/>
        <v>2.75</v>
      </c>
      <c r="I148" t="str">
        <f t="shared" si="36"/>
        <v>PASSED</v>
      </c>
      <c r="J148" t="s">
        <v>276</v>
      </c>
      <c r="K148" t="s">
        <v>271</v>
      </c>
    </row>
    <row r="149" spans="1:11" x14ac:dyDescent="0.25">
      <c r="A149" s="5" t="s">
        <v>148</v>
      </c>
      <c r="B149" t="s">
        <v>280</v>
      </c>
      <c r="C149">
        <v>81</v>
      </c>
      <c r="D149">
        <v>94</v>
      </c>
      <c r="E149">
        <v>95</v>
      </c>
      <c r="F149">
        <v>94</v>
      </c>
      <c r="G149" s="9">
        <f t="shared" si="35"/>
        <v>91</v>
      </c>
      <c r="H149" s="9">
        <f t="shared" si="32"/>
        <v>1.5</v>
      </c>
      <c r="I149" t="str">
        <f t="shared" si="36"/>
        <v>PASSED</v>
      </c>
      <c r="J149" t="s">
        <v>270</v>
      </c>
      <c r="K149" t="s">
        <v>271</v>
      </c>
    </row>
    <row r="150" spans="1:11" x14ac:dyDescent="0.25">
      <c r="A150" s="5" t="s">
        <v>148</v>
      </c>
      <c r="B150" t="s">
        <v>282</v>
      </c>
      <c r="C150">
        <v>94</v>
      </c>
      <c r="D150">
        <v>90</v>
      </c>
      <c r="E150">
        <v>98</v>
      </c>
      <c r="F150">
        <v>82</v>
      </c>
      <c r="G150" s="9">
        <f t="shared" si="35"/>
        <v>91</v>
      </c>
      <c r="H150" s="9">
        <f t="shared" si="32"/>
        <v>1.5</v>
      </c>
      <c r="I150" t="str">
        <f t="shared" si="36"/>
        <v>PASSED</v>
      </c>
      <c r="J150" t="s">
        <v>279</v>
      </c>
      <c r="K150" t="s">
        <v>271</v>
      </c>
    </row>
    <row r="151" spans="1:11" x14ac:dyDescent="0.25">
      <c r="A151" s="5" t="s">
        <v>148</v>
      </c>
      <c r="B151" t="s">
        <v>278</v>
      </c>
      <c r="C151">
        <v>80</v>
      </c>
      <c r="D151">
        <v>95</v>
      </c>
      <c r="E151">
        <v>81</v>
      </c>
      <c r="F151">
        <v>81</v>
      </c>
      <c r="G151" s="9">
        <f t="shared" si="35"/>
        <v>84.25</v>
      </c>
      <c r="H151" s="9">
        <f t="shared" si="32"/>
        <v>2.25</v>
      </c>
      <c r="I151" t="str">
        <f t="shared" si="36"/>
        <v>PASSED</v>
      </c>
      <c r="J151" t="s">
        <v>270</v>
      </c>
      <c r="K151" t="s">
        <v>274</v>
      </c>
    </row>
    <row r="152" spans="1:11" x14ac:dyDescent="0.25">
      <c r="A152" s="5" t="s">
        <v>148</v>
      </c>
      <c r="B152" s="7" t="s">
        <v>277</v>
      </c>
      <c r="C152">
        <v>83</v>
      </c>
      <c r="D152">
        <v>85</v>
      </c>
      <c r="E152">
        <v>95</v>
      </c>
      <c r="F152">
        <v>83</v>
      </c>
      <c r="G152" s="9">
        <f t="shared" si="35"/>
        <v>86.5</v>
      </c>
      <c r="H152" s="9">
        <f t="shared" si="32"/>
        <v>2</v>
      </c>
      <c r="I152" t="str">
        <f t="shared" si="36"/>
        <v>PASSED</v>
      </c>
      <c r="J152" t="s">
        <v>276</v>
      </c>
      <c r="K152" t="s">
        <v>271</v>
      </c>
    </row>
    <row r="153" spans="1:11" x14ac:dyDescent="0.25">
      <c r="A153" s="5" t="s">
        <v>148</v>
      </c>
      <c r="B153" s="7" t="s">
        <v>273</v>
      </c>
      <c r="C153">
        <v>96</v>
      </c>
      <c r="D153">
        <v>83</v>
      </c>
      <c r="E153">
        <v>86</v>
      </c>
      <c r="F153">
        <v>79</v>
      </c>
      <c r="G153" s="9">
        <v>86</v>
      </c>
      <c r="H153" s="9">
        <f t="shared" si="32"/>
        <v>2</v>
      </c>
      <c r="I153" t="s">
        <v>285</v>
      </c>
      <c r="J153" t="s">
        <v>270</v>
      </c>
      <c r="K153" t="s">
        <v>271</v>
      </c>
    </row>
    <row r="154" spans="1:11" x14ac:dyDescent="0.25">
      <c r="A154" s="5" t="s">
        <v>148</v>
      </c>
      <c r="B154" s="7" t="s">
        <v>275</v>
      </c>
      <c r="C154">
        <v>96</v>
      </c>
      <c r="D154">
        <v>83</v>
      </c>
      <c r="E154">
        <v>86</v>
      </c>
      <c r="F154">
        <v>79</v>
      </c>
      <c r="G154" s="9">
        <v>86</v>
      </c>
      <c r="H154" s="9">
        <f t="shared" si="32"/>
        <v>2</v>
      </c>
      <c r="I154" t="s">
        <v>285</v>
      </c>
      <c r="J154" t="s">
        <v>270</v>
      </c>
      <c r="K154" t="s">
        <v>271</v>
      </c>
    </row>
    <row r="155" spans="1:11" x14ac:dyDescent="0.25">
      <c r="A155" s="5" t="str">
        <f>IFERROR(Students!B31, "Student Not Found")</f>
        <v>Bea Castro</v>
      </c>
      <c r="B155" s="7" t="s">
        <v>281</v>
      </c>
      <c r="C155">
        <v>93</v>
      </c>
      <c r="D155">
        <v>90</v>
      </c>
      <c r="E155">
        <v>89</v>
      </c>
      <c r="F155">
        <v>83</v>
      </c>
      <c r="G155" s="9">
        <f t="shared" ref="G155:G161" si="37">AVERAGE(C155:F155)</f>
        <v>88.75</v>
      </c>
      <c r="H155" s="9">
        <f t="shared" si="32"/>
        <v>2</v>
      </c>
      <c r="I155" t="str">
        <f t="shared" ref="I155:I161" si="38">IF(H155&lt;=3,"PASSED","FAILED")</f>
        <v>PASSED</v>
      </c>
      <c r="J155" t="s">
        <v>279</v>
      </c>
      <c r="K155" t="s">
        <v>274</v>
      </c>
    </row>
    <row r="156" spans="1:11" x14ac:dyDescent="0.25">
      <c r="A156" s="5" t="s">
        <v>158</v>
      </c>
      <c r="B156" s="7" t="s">
        <v>269</v>
      </c>
      <c r="C156">
        <v>75</v>
      </c>
      <c r="D156">
        <v>96</v>
      </c>
      <c r="E156">
        <v>79</v>
      </c>
      <c r="F156">
        <v>89</v>
      </c>
      <c r="G156" s="9">
        <f t="shared" si="37"/>
        <v>84.75</v>
      </c>
      <c r="H156" s="9">
        <f t="shared" si="32"/>
        <v>2.25</v>
      </c>
      <c r="I156" t="str">
        <f t="shared" si="38"/>
        <v>PASSED</v>
      </c>
      <c r="J156" t="s">
        <v>270</v>
      </c>
      <c r="K156" t="s">
        <v>271</v>
      </c>
    </row>
    <row r="157" spans="1:11" x14ac:dyDescent="0.25">
      <c r="A157" s="5" t="s">
        <v>158</v>
      </c>
      <c r="B157" s="7" t="s">
        <v>272</v>
      </c>
      <c r="C157">
        <v>91</v>
      </c>
      <c r="D157">
        <v>90</v>
      </c>
      <c r="E157">
        <v>95</v>
      </c>
      <c r="F157">
        <v>85</v>
      </c>
      <c r="G157" s="9">
        <f t="shared" si="37"/>
        <v>90.25</v>
      </c>
      <c r="H157" s="9">
        <f t="shared" si="32"/>
        <v>1.75</v>
      </c>
      <c r="I157" t="str">
        <f t="shared" si="38"/>
        <v>PASSED</v>
      </c>
      <c r="J157" t="s">
        <v>279</v>
      </c>
      <c r="K157" t="s">
        <v>271</v>
      </c>
    </row>
    <row r="158" spans="1:11" x14ac:dyDescent="0.25">
      <c r="A158" s="5" t="s">
        <v>158</v>
      </c>
      <c r="B158" s="7" t="s">
        <v>280</v>
      </c>
      <c r="C158">
        <v>96</v>
      </c>
      <c r="D158">
        <v>83</v>
      </c>
      <c r="E158">
        <v>93</v>
      </c>
      <c r="F158">
        <v>93</v>
      </c>
      <c r="G158" s="9">
        <f t="shared" si="37"/>
        <v>91.25</v>
      </c>
      <c r="H158" s="9">
        <f t="shared" si="32"/>
        <v>1.5</v>
      </c>
      <c r="I158" t="str">
        <f t="shared" si="38"/>
        <v>PASSED</v>
      </c>
      <c r="J158" t="s">
        <v>276</v>
      </c>
      <c r="K158" t="s">
        <v>274</v>
      </c>
    </row>
    <row r="159" spans="1:11" x14ac:dyDescent="0.25">
      <c r="A159" s="5" t="s">
        <v>158</v>
      </c>
      <c r="B159" s="7" t="s">
        <v>282</v>
      </c>
      <c r="C159">
        <v>89</v>
      </c>
      <c r="D159">
        <v>93</v>
      </c>
      <c r="E159">
        <v>86</v>
      </c>
      <c r="F159">
        <v>86</v>
      </c>
      <c r="G159" s="9">
        <f t="shared" si="37"/>
        <v>88.5</v>
      </c>
      <c r="H159" s="9">
        <f t="shared" si="32"/>
        <v>2</v>
      </c>
      <c r="I159" t="str">
        <f t="shared" si="38"/>
        <v>PASSED</v>
      </c>
      <c r="J159" t="s">
        <v>276</v>
      </c>
      <c r="K159" t="s">
        <v>274</v>
      </c>
    </row>
    <row r="160" spans="1:11" x14ac:dyDescent="0.25">
      <c r="A160" s="5" t="s">
        <v>158</v>
      </c>
      <c r="B160" s="7" t="s">
        <v>278</v>
      </c>
      <c r="C160">
        <v>77</v>
      </c>
      <c r="D160">
        <v>77</v>
      </c>
      <c r="E160">
        <v>94</v>
      </c>
      <c r="F160">
        <v>88</v>
      </c>
      <c r="G160" s="9">
        <f t="shared" si="37"/>
        <v>84</v>
      </c>
      <c r="H160" s="9">
        <f t="shared" si="32"/>
        <v>2.25</v>
      </c>
      <c r="I160" t="str">
        <f t="shared" si="38"/>
        <v>PASSED</v>
      </c>
      <c r="J160" t="s">
        <v>270</v>
      </c>
      <c r="K160" t="s">
        <v>271</v>
      </c>
    </row>
    <row r="161" spans="1:11" x14ac:dyDescent="0.25">
      <c r="A161" s="5" t="s">
        <v>158</v>
      </c>
      <c r="B161" s="7" t="s">
        <v>277</v>
      </c>
      <c r="C161">
        <v>87</v>
      </c>
      <c r="D161">
        <v>90</v>
      </c>
      <c r="E161">
        <v>87</v>
      </c>
      <c r="F161">
        <v>94</v>
      </c>
      <c r="G161" s="9">
        <f t="shared" si="37"/>
        <v>89.5</v>
      </c>
      <c r="H161" s="9">
        <f t="shared" si="32"/>
        <v>1.75</v>
      </c>
      <c r="I161" t="str">
        <f t="shared" si="38"/>
        <v>PASSED</v>
      </c>
      <c r="J161" t="s">
        <v>270</v>
      </c>
      <c r="K161" t="s">
        <v>271</v>
      </c>
    </row>
    <row r="162" spans="1:11" x14ac:dyDescent="0.25">
      <c r="A162" s="5" t="s">
        <v>158</v>
      </c>
      <c r="B162" s="7" t="s">
        <v>273</v>
      </c>
      <c r="C162">
        <v>95</v>
      </c>
      <c r="D162">
        <v>79</v>
      </c>
      <c r="E162">
        <v>98</v>
      </c>
      <c r="F162">
        <v>78</v>
      </c>
      <c r="G162" s="9">
        <v>87.5</v>
      </c>
      <c r="H162" s="9">
        <f t="shared" si="32"/>
        <v>2</v>
      </c>
      <c r="I162" t="s">
        <v>285</v>
      </c>
      <c r="J162" t="s">
        <v>270</v>
      </c>
      <c r="K162" t="s">
        <v>274</v>
      </c>
    </row>
    <row r="163" spans="1:11" x14ac:dyDescent="0.25">
      <c r="A163" s="5" t="s">
        <v>158</v>
      </c>
      <c r="B163" s="7" t="s">
        <v>275</v>
      </c>
      <c r="C163">
        <v>95</v>
      </c>
      <c r="D163">
        <v>79</v>
      </c>
      <c r="E163">
        <v>98</v>
      </c>
      <c r="F163">
        <v>78</v>
      </c>
      <c r="G163" s="9">
        <v>87.5</v>
      </c>
      <c r="H163" s="9">
        <f t="shared" si="32"/>
        <v>2</v>
      </c>
      <c r="I163" t="s">
        <v>285</v>
      </c>
      <c r="J163" t="s">
        <v>270</v>
      </c>
      <c r="K163" t="s">
        <v>274</v>
      </c>
    </row>
    <row r="164" spans="1:11" x14ac:dyDescent="0.25">
      <c r="A164" s="5" t="str">
        <f>IFERROR(Students!B21, "Student Not Found")</f>
        <v>Bea Cruz</v>
      </c>
      <c r="B164" s="7" t="s">
        <v>281</v>
      </c>
      <c r="C164">
        <v>92</v>
      </c>
      <c r="D164">
        <v>99</v>
      </c>
      <c r="E164">
        <v>79</v>
      </c>
      <c r="F164">
        <v>75</v>
      </c>
      <c r="G164" s="9">
        <f t="shared" ref="G164:G170" si="39">AVERAGE(C164:F164)</f>
        <v>86.25</v>
      </c>
      <c r="H164" s="9">
        <f t="shared" si="32"/>
        <v>2</v>
      </c>
      <c r="I164" t="str">
        <f t="shared" ref="I164:I170" si="40">IF(H164&lt;=3,"PASSED","FAILED")</f>
        <v>PASSED</v>
      </c>
      <c r="J164" t="s">
        <v>270</v>
      </c>
      <c r="K164" t="s">
        <v>274</v>
      </c>
    </row>
    <row r="165" spans="1:11" x14ac:dyDescent="0.25">
      <c r="A165" s="5" t="s">
        <v>108</v>
      </c>
      <c r="B165" s="7" t="s">
        <v>269</v>
      </c>
      <c r="C165">
        <v>93</v>
      </c>
      <c r="D165">
        <v>81</v>
      </c>
      <c r="E165">
        <v>95</v>
      </c>
      <c r="F165">
        <v>84</v>
      </c>
      <c r="G165" s="9">
        <f t="shared" si="39"/>
        <v>88.25</v>
      </c>
      <c r="H165" s="9">
        <f t="shared" si="32"/>
        <v>2</v>
      </c>
      <c r="I165" t="str">
        <f t="shared" si="40"/>
        <v>PASSED</v>
      </c>
      <c r="J165" t="s">
        <v>276</v>
      </c>
      <c r="K165" t="s">
        <v>274</v>
      </c>
    </row>
    <row r="166" spans="1:11" x14ac:dyDescent="0.25">
      <c r="A166" s="5" t="s">
        <v>108</v>
      </c>
      <c r="B166" s="7" t="s">
        <v>272</v>
      </c>
      <c r="C166">
        <v>94</v>
      </c>
      <c r="D166">
        <v>88</v>
      </c>
      <c r="E166">
        <v>88</v>
      </c>
      <c r="F166">
        <v>81</v>
      </c>
      <c r="G166" s="9">
        <f t="shared" si="39"/>
        <v>87.75</v>
      </c>
      <c r="H166" s="9">
        <f t="shared" si="32"/>
        <v>2</v>
      </c>
      <c r="I166" t="str">
        <f t="shared" si="40"/>
        <v>PASSED</v>
      </c>
      <c r="J166" t="s">
        <v>276</v>
      </c>
      <c r="K166" t="s">
        <v>271</v>
      </c>
    </row>
    <row r="167" spans="1:11" x14ac:dyDescent="0.25">
      <c r="A167" s="5" t="s">
        <v>108</v>
      </c>
      <c r="B167" s="7" t="s">
        <v>280</v>
      </c>
      <c r="C167">
        <v>98</v>
      </c>
      <c r="D167">
        <v>84</v>
      </c>
      <c r="E167">
        <v>97</v>
      </c>
      <c r="F167">
        <v>82</v>
      </c>
      <c r="G167" s="9">
        <f t="shared" si="39"/>
        <v>90.25</v>
      </c>
      <c r="H167" s="9">
        <f t="shared" si="32"/>
        <v>1.75</v>
      </c>
      <c r="I167" t="str">
        <f t="shared" si="40"/>
        <v>PASSED</v>
      </c>
      <c r="J167" t="s">
        <v>279</v>
      </c>
      <c r="K167" t="s">
        <v>271</v>
      </c>
    </row>
    <row r="168" spans="1:11" x14ac:dyDescent="0.25">
      <c r="A168" s="5" t="s">
        <v>108</v>
      </c>
      <c r="B168" s="7" t="s">
        <v>282</v>
      </c>
      <c r="C168">
        <v>81</v>
      </c>
      <c r="D168">
        <v>95</v>
      </c>
      <c r="E168">
        <v>79</v>
      </c>
      <c r="F168">
        <v>94</v>
      </c>
      <c r="G168" s="9">
        <f t="shared" si="39"/>
        <v>87.25</v>
      </c>
      <c r="H168" s="9">
        <f t="shared" si="32"/>
        <v>2</v>
      </c>
      <c r="I168" t="str">
        <f t="shared" si="40"/>
        <v>PASSED</v>
      </c>
      <c r="J168" t="s">
        <v>270</v>
      </c>
      <c r="K168" t="s">
        <v>271</v>
      </c>
    </row>
    <row r="169" spans="1:11" x14ac:dyDescent="0.25">
      <c r="A169" s="5" t="s">
        <v>108</v>
      </c>
      <c r="B169" s="7" t="s">
        <v>278</v>
      </c>
      <c r="C169">
        <v>99</v>
      </c>
      <c r="D169">
        <v>96</v>
      </c>
      <c r="E169">
        <v>84</v>
      </c>
      <c r="F169">
        <v>84</v>
      </c>
      <c r="G169" s="9">
        <f t="shared" si="39"/>
        <v>90.75</v>
      </c>
      <c r="H169" s="9">
        <f t="shared" si="32"/>
        <v>1.75</v>
      </c>
      <c r="I169" t="str">
        <f t="shared" si="40"/>
        <v>PASSED</v>
      </c>
      <c r="J169" t="s">
        <v>270</v>
      </c>
      <c r="K169" t="s">
        <v>274</v>
      </c>
    </row>
    <row r="170" spans="1:11" x14ac:dyDescent="0.25">
      <c r="A170" s="5" t="s">
        <v>108</v>
      </c>
      <c r="B170" s="7" t="s">
        <v>277</v>
      </c>
      <c r="C170">
        <v>89</v>
      </c>
      <c r="D170">
        <v>90</v>
      </c>
      <c r="E170">
        <v>76</v>
      </c>
      <c r="F170">
        <v>84</v>
      </c>
      <c r="G170" s="9">
        <f t="shared" si="39"/>
        <v>84.75</v>
      </c>
      <c r="H170" s="9">
        <f t="shared" si="32"/>
        <v>2.25</v>
      </c>
      <c r="I170" t="str">
        <f t="shared" si="40"/>
        <v>PASSED</v>
      </c>
      <c r="J170" t="s">
        <v>276</v>
      </c>
      <c r="K170" t="s">
        <v>274</v>
      </c>
    </row>
    <row r="171" spans="1:11" x14ac:dyDescent="0.25">
      <c r="A171" s="5" t="s">
        <v>108</v>
      </c>
      <c r="B171" s="7" t="s">
        <v>273</v>
      </c>
      <c r="C171">
        <v>82</v>
      </c>
      <c r="D171">
        <v>97</v>
      </c>
      <c r="E171">
        <v>81</v>
      </c>
      <c r="F171">
        <v>92</v>
      </c>
      <c r="G171" s="9">
        <v>88</v>
      </c>
      <c r="H171" s="9">
        <f t="shared" si="32"/>
        <v>2</v>
      </c>
      <c r="I171" t="s">
        <v>285</v>
      </c>
      <c r="J171" t="s">
        <v>276</v>
      </c>
      <c r="K171" t="s">
        <v>271</v>
      </c>
    </row>
    <row r="172" spans="1:11" x14ac:dyDescent="0.25">
      <c r="A172" s="5" t="s">
        <v>108</v>
      </c>
      <c r="B172" s="7" t="s">
        <v>275</v>
      </c>
      <c r="C172">
        <v>82</v>
      </c>
      <c r="D172">
        <v>97</v>
      </c>
      <c r="E172">
        <v>81</v>
      </c>
      <c r="F172">
        <v>92</v>
      </c>
      <c r="G172" s="9">
        <v>88</v>
      </c>
      <c r="H172" s="9">
        <f t="shared" si="32"/>
        <v>2</v>
      </c>
      <c r="I172" t="s">
        <v>285</v>
      </c>
      <c r="J172" t="s">
        <v>276</v>
      </c>
      <c r="K172" t="s">
        <v>271</v>
      </c>
    </row>
    <row r="173" spans="1:11" x14ac:dyDescent="0.25">
      <c r="A173" s="5" t="str">
        <f>IFERROR(Students!B32, "Student Not Found")</f>
        <v>Bea Delos Reyes</v>
      </c>
      <c r="B173" s="7" t="s">
        <v>281</v>
      </c>
      <c r="C173">
        <v>79</v>
      </c>
      <c r="D173">
        <v>76</v>
      </c>
      <c r="E173">
        <v>82</v>
      </c>
      <c r="F173">
        <v>98</v>
      </c>
      <c r="G173" s="9">
        <f t="shared" ref="G173:G179" si="41">AVERAGE(C173:F173)</f>
        <v>83.75</v>
      </c>
      <c r="H173" s="9">
        <f t="shared" si="32"/>
        <v>2.25</v>
      </c>
      <c r="I173" t="str">
        <f t="shared" ref="I173:I179" si="42">IF(H173&lt;=3,"PASSED","FAILED")</f>
        <v>PASSED</v>
      </c>
      <c r="J173" t="s">
        <v>276</v>
      </c>
      <c r="K173" t="s">
        <v>271</v>
      </c>
    </row>
    <row r="174" spans="1:11" x14ac:dyDescent="0.25">
      <c r="A174" s="5" t="s">
        <v>163</v>
      </c>
      <c r="B174" s="7" t="s">
        <v>269</v>
      </c>
      <c r="C174">
        <v>78</v>
      </c>
      <c r="D174">
        <v>86</v>
      </c>
      <c r="E174">
        <v>99</v>
      </c>
      <c r="F174">
        <v>83</v>
      </c>
      <c r="G174" s="9">
        <f t="shared" si="41"/>
        <v>86.5</v>
      </c>
      <c r="H174" s="9">
        <f t="shared" si="32"/>
        <v>2</v>
      </c>
      <c r="I174" t="str">
        <f t="shared" si="42"/>
        <v>PASSED</v>
      </c>
      <c r="J174" t="s">
        <v>276</v>
      </c>
      <c r="K174" t="s">
        <v>271</v>
      </c>
    </row>
    <row r="175" spans="1:11" x14ac:dyDescent="0.25">
      <c r="A175" s="5" t="s">
        <v>163</v>
      </c>
      <c r="B175" s="7" t="s">
        <v>272</v>
      </c>
      <c r="C175">
        <v>99</v>
      </c>
      <c r="D175">
        <v>77</v>
      </c>
      <c r="E175">
        <v>78</v>
      </c>
      <c r="F175">
        <v>75</v>
      </c>
      <c r="G175" s="9">
        <f t="shared" si="41"/>
        <v>82.25</v>
      </c>
      <c r="H175" s="9">
        <f t="shared" si="32"/>
        <v>2.5</v>
      </c>
      <c r="I175" t="str">
        <f t="shared" si="42"/>
        <v>PASSED</v>
      </c>
      <c r="J175" t="s">
        <v>270</v>
      </c>
      <c r="K175" t="s">
        <v>271</v>
      </c>
    </row>
    <row r="176" spans="1:11" x14ac:dyDescent="0.25">
      <c r="A176" s="5" t="s">
        <v>163</v>
      </c>
      <c r="B176" s="7" t="s">
        <v>280</v>
      </c>
      <c r="C176">
        <v>86</v>
      </c>
      <c r="D176">
        <v>94</v>
      </c>
      <c r="E176">
        <v>81</v>
      </c>
      <c r="F176">
        <v>91</v>
      </c>
      <c r="G176" s="9">
        <f t="shared" si="41"/>
        <v>88</v>
      </c>
      <c r="H176" s="9">
        <f t="shared" si="32"/>
        <v>2</v>
      </c>
      <c r="I176" t="str">
        <f t="shared" si="42"/>
        <v>PASSED</v>
      </c>
      <c r="J176" t="s">
        <v>270</v>
      </c>
      <c r="K176" t="s">
        <v>271</v>
      </c>
    </row>
    <row r="177" spans="1:11" x14ac:dyDescent="0.25">
      <c r="A177" s="5" t="s">
        <v>163</v>
      </c>
      <c r="B177" s="7" t="s">
        <v>282</v>
      </c>
      <c r="C177">
        <v>88</v>
      </c>
      <c r="D177">
        <v>77</v>
      </c>
      <c r="E177">
        <v>94</v>
      </c>
      <c r="F177">
        <v>83</v>
      </c>
      <c r="G177" s="9">
        <f t="shared" si="41"/>
        <v>85.5</v>
      </c>
      <c r="H177" s="9">
        <f t="shared" si="32"/>
        <v>2.25</v>
      </c>
      <c r="I177" t="str">
        <f t="shared" si="42"/>
        <v>PASSED</v>
      </c>
      <c r="J177" t="s">
        <v>270</v>
      </c>
      <c r="K177" t="s">
        <v>274</v>
      </c>
    </row>
    <row r="178" spans="1:11" x14ac:dyDescent="0.25">
      <c r="A178" s="5" t="s">
        <v>163</v>
      </c>
      <c r="B178" s="7" t="s">
        <v>278</v>
      </c>
      <c r="C178">
        <v>97</v>
      </c>
      <c r="D178">
        <v>96</v>
      </c>
      <c r="E178">
        <v>84</v>
      </c>
      <c r="F178">
        <v>90</v>
      </c>
      <c r="G178" s="9">
        <f t="shared" si="41"/>
        <v>91.75</v>
      </c>
      <c r="H178" s="9">
        <f t="shared" si="32"/>
        <v>1.5</v>
      </c>
      <c r="I178" t="str">
        <f t="shared" si="42"/>
        <v>PASSED</v>
      </c>
      <c r="J178" t="s">
        <v>276</v>
      </c>
      <c r="K178" t="s">
        <v>271</v>
      </c>
    </row>
    <row r="179" spans="1:11" x14ac:dyDescent="0.25">
      <c r="A179" s="5" t="s">
        <v>163</v>
      </c>
      <c r="B179" s="7" t="s">
        <v>277</v>
      </c>
      <c r="C179">
        <v>92</v>
      </c>
      <c r="D179">
        <v>89</v>
      </c>
      <c r="E179">
        <v>95</v>
      </c>
      <c r="F179">
        <v>76</v>
      </c>
      <c r="G179" s="9">
        <f t="shared" si="41"/>
        <v>88</v>
      </c>
      <c r="H179" s="9">
        <f t="shared" si="32"/>
        <v>2</v>
      </c>
      <c r="I179" t="str">
        <f t="shared" si="42"/>
        <v>PASSED</v>
      </c>
      <c r="J179" t="s">
        <v>279</v>
      </c>
      <c r="K179" t="s">
        <v>271</v>
      </c>
    </row>
    <row r="180" spans="1:11" x14ac:dyDescent="0.25">
      <c r="A180" s="5" t="s">
        <v>163</v>
      </c>
      <c r="B180" s="7" t="s">
        <v>273</v>
      </c>
      <c r="C180">
        <v>94</v>
      </c>
      <c r="D180">
        <v>96</v>
      </c>
      <c r="E180">
        <v>93</v>
      </c>
      <c r="F180">
        <v>96</v>
      </c>
      <c r="G180" s="9">
        <v>94.75</v>
      </c>
      <c r="H180" s="9">
        <f t="shared" si="32"/>
        <v>1.25</v>
      </c>
      <c r="I180" t="s">
        <v>285</v>
      </c>
      <c r="J180" t="s">
        <v>276</v>
      </c>
      <c r="K180" t="s">
        <v>271</v>
      </c>
    </row>
    <row r="181" spans="1:11" x14ac:dyDescent="0.25">
      <c r="A181" s="5" t="s">
        <v>163</v>
      </c>
      <c r="B181" s="7" t="s">
        <v>275</v>
      </c>
      <c r="C181">
        <v>94</v>
      </c>
      <c r="D181">
        <v>96</v>
      </c>
      <c r="E181">
        <v>93</v>
      </c>
      <c r="F181">
        <v>96</v>
      </c>
      <c r="G181" s="9">
        <v>94.75</v>
      </c>
      <c r="H181" s="9">
        <f t="shared" si="32"/>
        <v>1.25</v>
      </c>
      <c r="I181" t="s">
        <v>285</v>
      </c>
      <c r="J181" t="s">
        <v>276</v>
      </c>
      <c r="K181" t="s">
        <v>271</v>
      </c>
    </row>
    <row r="182" spans="1:11" x14ac:dyDescent="0.25">
      <c r="A182" s="5" t="str">
        <f>IFERROR(Students!B23, "Student Not Found")</f>
        <v>Bea Flores</v>
      </c>
      <c r="B182" s="7" t="s">
        <v>281</v>
      </c>
      <c r="C182">
        <v>96</v>
      </c>
      <c r="D182">
        <v>94</v>
      </c>
      <c r="E182">
        <v>94</v>
      </c>
      <c r="F182">
        <v>95</v>
      </c>
      <c r="G182" s="9">
        <f t="shared" ref="G182:G188" si="43">AVERAGE(C182:F182)</f>
        <v>94.75</v>
      </c>
      <c r="H182" s="9">
        <f t="shared" si="32"/>
        <v>1.25</v>
      </c>
      <c r="I182" t="str">
        <f t="shared" ref="I182:I188" si="44">IF(H182&lt;=3,"PASSED","FAILED")</f>
        <v>PASSED</v>
      </c>
      <c r="J182" t="s">
        <v>276</v>
      </c>
      <c r="K182" t="s">
        <v>274</v>
      </c>
    </row>
    <row r="183" spans="1:11" x14ac:dyDescent="0.25">
      <c r="A183" s="5" t="s">
        <v>118</v>
      </c>
      <c r="B183" s="7" t="s">
        <v>269</v>
      </c>
      <c r="C183">
        <v>83</v>
      </c>
      <c r="D183">
        <v>86</v>
      </c>
      <c r="E183">
        <v>99</v>
      </c>
      <c r="F183">
        <v>80</v>
      </c>
      <c r="G183" s="9">
        <f t="shared" si="43"/>
        <v>87</v>
      </c>
      <c r="H183" s="9">
        <f t="shared" si="32"/>
        <v>2</v>
      </c>
      <c r="I183" t="str">
        <f t="shared" si="44"/>
        <v>PASSED</v>
      </c>
      <c r="J183" t="s">
        <v>270</v>
      </c>
      <c r="K183" t="s">
        <v>274</v>
      </c>
    </row>
    <row r="184" spans="1:11" x14ac:dyDescent="0.25">
      <c r="A184" s="5" t="s">
        <v>118</v>
      </c>
      <c r="B184" s="7" t="s">
        <v>272</v>
      </c>
      <c r="C184">
        <v>86</v>
      </c>
      <c r="D184">
        <v>87</v>
      </c>
      <c r="E184">
        <v>75</v>
      </c>
      <c r="F184">
        <v>86</v>
      </c>
      <c r="G184" s="9">
        <f t="shared" si="43"/>
        <v>83.5</v>
      </c>
      <c r="H184" s="9">
        <f t="shared" si="32"/>
        <v>2.25</v>
      </c>
      <c r="I184" t="str">
        <f t="shared" si="44"/>
        <v>PASSED</v>
      </c>
      <c r="J184" t="s">
        <v>276</v>
      </c>
      <c r="K184" t="s">
        <v>274</v>
      </c>
    </row>
    <row r="185" spans="1:11" x14ac:dyDescent="0.25">
      <c r="A185" s="5" t="s">
        <v>118</v>
      </c>
      <c r="B185" s="7" t="s">
        <v>280</v>
      </c>
      <c r="C185">
        <v>99</v>
      </c>
      <c r="D185">
        <v>99</v>
      </c>
      <c r="E185">
        <v>88</v>
      </c>
      <c r="F185">
        <v>77</v>
      </c>
      <c r="G185" s="9">
        <f t="shared" si="43"/>
        <v>90.75</v>
      </c>
      <c r="H185" s="9">
        <f t="shared" si="32"/>
        <v>1.75</v>
      </c>
      <c r="I185" t="str">
        <f t="shared" si="44"/>
        <v>PASSED</v>
      </c>
      <c r="J185" t="s">
        <v>276</v>
      </c>
      <c r="K185" t="s">
        <v>271</v>
      </c>
    </row>
    <row r="186" spans="1:11" x14ac:dyDescent="0.25">
      <c r="A186" s="5" t="s">
        <v>118</v>
      </c>
      <c r="B186" s="7" t="s">
        <v>282</v>
      </c>
      <c r="C186">
        <v>77</v>
      </c>
      <c r="D186">
        <v>85</v>
      </c>
      <c r="E186">
        <v>85</v>
      </c>
      <c r="F186">
        <v>79</v>
      </c>
      <c r="G186" s="9">
        <f t="shared" si="43"/>
        <v>81.5</v>
      </c>
      <c r="H186" s="9">
        <f t="shared" si="32"/>
        <v>2.5</v>
      </c>
      <c r="I186" t="str">
        <f t="shared" si="44"/>
        <v>PASSED</v>
      </c>
      <c r="J186" t="s">
        <v>270</v>
      </c>
      <c r="K186" t="s">
        <v>274</v>
      </c>
    </row>
    <row r="187" spans="1:11" x14ac:dyDescent="0.25">
      <c r="A187" s="5" t="s">
        <v>118</v>
      </c>
      <c r="B187" s="7" t="s">
        <v>278</v>
      </c>
      <c r="C187">
        <v>88</v>
      </c>
      <c r="D187">
        <v>91</v>
      </c>
      <c r="E187">
        <v>76</v>
      </c>
      <c r="F187">
        <v>77</v>
      </c>
      <c r="G187" s="9">
        <f t="shared" si="43"/>
        <v>83</v>
      </c>
      <c r="H187" s="9">
        <f t="shared" si="32"/>
        <v>2.25</v>
      </c>
      <c r="I187" t="str">
        <f t="shared" si="44"/>
        <v>PASSED</v>
      </c>
      <c r="J187" t="s">
        <v>279</v>
      </c>
      <c r="K187" t="s">
        <v>274</v>
      </c>
    </row>
    <row r="188" spans="1:11" x14ac:dyDescent="0.25">
      <c r="A188" s="5" t="s">
        <v>118</v>
      </c>
      <c r="B188" s="7" t="s">
        <v>277</v>
      </c>
      <c r="C188">
        <v>94</v>
      </c>
      <c r="D188">
        <v>76</v>
      </c>
      <c r="E188">
        <v>94</v>
      </c>
      <c r="F188">
        <v>95</v>
      </c>
      <c r="G188" s="9">
        <f t="shared" si="43"/>
        <v>89.75</v>
      </c>
      <c r="H188" s="9">
        <f t="shared" si="32"/>
        <v>1.75</v>
      </c>
      <c r="I188" t="str">
        <f t="shared" si="44"/>
        <v>PASSED</v>
      </c>
      <c r="J188" t="s">
        <v>279</v>
      </c>
      <c r="K188" t="s">
        <v>271</v>
      </c>
    </row>
    <row r="189" spans="1:11" x14ac:dyDescent="0.25">
      <c r="A189" s="5" t="s">
        <v>118</v>
      </c>
      <c r="B189" s="7" t="s">
        <v>273</v>
      </c>
      <c r="C189">
        <v>82</v>
      </c>
      <c r="D189">
        <v>85</v>
      </c>
      <c r="E189">
        <v>97</v>
      </c>
      <c r="F189">
        <v>81</v>
      </c>
      <c r="G189" s="9">
        <v>86.25</v>
      </c>
      <c r="H189" s="9">
        <f t="shared" si="32"/>
        <v>2</v>
      </c>
      <c r="I189" t="s">
        <v>285</v>
      </c>
      <c r="J189" t="s">
        <v>270</v>
      </c>
      <c r="K189" t="s">
        <v>274</v>
      </c>
    </row>
    <row r="190" spans="1:11" x14ac:dyDescent="0.25">
      <c r="A190" s="5" t="s">
        <v>118</v>
      </c>
      <c r="B190" s="7" t="s">
        <v>275</v>
      </c>
      <c r="C190">
        <v>82</v>
      </c>
      <c r="D190">
        <v>85</v>
      </c>
      <c r="E190">
        <v>97</v>
      </c>
      <c r="F190">
        <v>81</v>
      </c>
      <c r="G190" s="9">
        <v>86.25</v>
      </c>
      <c r="H190" s="9">
        <f t="shared" si="32"/>
        <v>2</v>
      </c>
      <c r="I190" t="s">
        <v>285</v>
      </c>
      <c r="J190" t="s">
        <v>270</v>
      </c>
      <c r="K190" t="s">
        <v>274</v>
      </c>
    </row>
    <row r="191" spans="1:11" x14ac:dyDescent="0.25">
      <c r="A191" s="5" t="str">
        <f>IFERROR(Students!B19, "Student Not Found")</f>
        <v>Bea Garcia</v>
      </c>
      <c r="B191" s="7" t="s">
        <v>281</v>
      </c>
      <c r="C191">
        <v>76</v>
      </c>
      <c r="D191">
        <v>91</v>
      </c>
      <c r="E191">
        <v>86</v>
      </c>
      <c r="F191">
        <v>91</v>
      </c>
      <c r="G191" s="9">
        <f t="shared" ref="G191:G197" si="45">AVERAGE(C191:F191)</f>
        <v>86</v>
      </c>
      <c r="H191" s="9">
        <f t="shared" si="32"/>
        <v>2</v>
      </c>
      <c r="I191" t="str">
        <f t="shared" ref="I191:I197" si="46">IF(H191&lt;=3,"PASSED","FAILED")</f>
        <v>PASSED</v>
      </c>
      <c r="J191" t="s">
        <v>270</v>
      </c>
      <c r="K191" t="s">
        <v>271</v>
      </c>
    </row>
    <row r="192" spans="1:11" x14ac:dyDescent="0.25">
      <c r="A192" s="5" t="s">
        <v>98</v>
      </c>
      <c r="B192" s="7" t="s">
        <v>269</v>
      </c>
      <c r="C192">
        <v>79</v>
      </c>
      <c r="D192">
        <v>93</v>
      </c>
      <c r="E192">
        <v>80</v>
      </c>
      <c r="F192">
        <v>96</v>
      </c>
      <c r="G192" s="9">
        <f t="shared" si="45"/>
        <v>87</v>
      </c>
      <c r="H192" s="9">
        <f t="shared" si="32"/>
        <v>2</v>
      </c>
      <c r="I192" t="str">
        <f t="shared" si="46"/>
        <v>PASSED</v>
      </c>
      <c r="J192" t="s">
        <v>270</v>
      </c>
      <c r="K192" t="s">
        <v>271</v>
      </c>
    </row>
    <row r="193" spans="1:11" x14ac:dyDescent="0.25">
      <c r="A193" s="5" t="s">
        <v>98</v>
      </c>
      <c r="B193" s="7" t="s">
        <v>272</v>
      </c>
      <c r="C193">
        <v>96</v>
      </c>
      <c r="D193">
        <v>89</v>
      </c>
      <c r="E193">
        <v>90</v>
      </c>
      <c r="F193">
        <v>78</v>
      </c>
      <c r="G193" s="9">
        <f t="shared" si="45"/>
        <v>88.25</v>
      </c>
      <c r="H193" s="9">
        <f t="shared" si="32"/>
        <v>2</v>
      </c>
      <c r="I193" t="str">
        <f t="shared" si="46"/>
        <v>PASSED</v>
      </c>
      <c r="J193" t="s">
        <v>270</v>
      </c>
      <c r="K193" t="s">
        <v>271</v>
      </c>
    </row>
    <row r="194" spans="1:11" x14ac:dyDescent="0.25">
      <c r="A194" s="5" t="s">
        <v>98</v>
      </c>
      <c r="B194" s="7" t="s">
        <v>280</v>
      </c>
      <c r="C194">
        <v>86</v>
      </c>
      <c r="D194">
        <v>99</v>
      </c>
      <c r="E194">
        <v>88</v>
      </c>
      <c r="F194">
        <v>97</v>
      </c>
      <c r="G194" s="9">
        <f t="shared" si="45"/>
        <v>92.5</v>
      </c>
      <c r="H194" s="9">
        <f t="shared" si="32"/>
        <v>1.5</v>
      </c>
      <c r="I194" t="str">
        <f t="shared" si="46"/>
        <v>PASSED</v>
      </c>
      <c r="J194" t="s">
        <v>276</v>
      </c>
      <c r="K194" t="s">
        <v>271</v>
      </c>
    </row>
    <row r="195" spans="1:11" x14ac:dyDescent="0.25">
      <c r="A195" s="5" t="s">
        <v>98</v>
      </c>
      <c r="B195" s="7" t="s">
        <v>282</v>
      </c>
      <c r="C195">
        <v>92</v>
      </c>
      <c r="D195">
        <v>78</v>
      </c>
      <c r="E195">
        <v>91</v>
      </c>
      <c r="F195">
        <v>95</v>
      </c>
      <c r="G195" s="9">
        <f t="shared" si="45"/>
        <v>89</v>
      </c>
      <c r="H195" s="9">
        <f t="shared" ref="H195:H258" si="47">IF(G195&gt;=96,1,IF(G195&gt;=94,1.25,IF(G195&gt;=91,1.5,IF(G195&gt;=89,1.75,IF(G195&gt;=86,2,IF(G195&gt;=83,2.25,IF(G195&gt;=80,2.5,IF(G195&gt;=77,2.75,IF(G195&gt;=75,3,5)))))))))</f>
        <v>1.75</v>
      </c>
      <c r="I195" t="str">
        <f t="shared" si="46"/>
        <v>PASSED</v>
      </c>
      <c r="J195" t="s">
        <v>270</v>
      </c>
      <c r="K195" t="s">
        <v>271</v>
      </c>
    </row>
    <row r="196" spans="1:11" x14ac:dyDescent="0.25">
      <c r="A196" s="5" t="s">
        <v>98</v>
      </c>
      <c r="B196" s="7" t="s">
        <v>278</v>
      </c>
      <c r="C196">
        <v>85</v>
      </c>
      <c r="D196">
        <v>94</v>
      </c>
      <c r="E196">
        <v>98</v>
      </c>
      <c r="F196">
        <v>79</v>
      </c>
      <c r="G196" s="9">
        <f t="shared" si="45"/>
        <v>89</v>
      </c>
      <c r="H196" s="9">
        <f t="shared" si="47"/>
        <v>1.75</v>
      </c>
      <c r="I196" t="str">
        <f t="shared" si="46"/>
        <v>PASSED</v>
      </c>
      <c r="J196" t="s">
        <v>270</v>
      </c>
      <c r="K196" t="s">
        <v>274</v>
      </c>
    </row>
    <row r="197" spans="1:11" x14ac:dyDescent="0.25">
      <c r="A197" s="5" t="s">
        <v>98</v>
      </c>
      <c r="B197" s="7" t="s">
        <v>277</v>
      </c>
      <c r="C197">
        <v>82</v>
      </c>
      <c r="D197">
        <v>82</v>
      </c>
      <c r="E197">
        <v>90</v>
      </c>
      <c r="F197">
        <v>79</v>
      </c>
      <c r="G197" s="9">
        <f t="shared" si="45"/>
        <v>83.25</v>
      </c>
      <c r="H197" s="9">
        <f t="shared" si="47"/>
        <v>2.25</v>
      </c>
      <c r="I197" t="str">
        <f t="shared" si="46"/>
        <v>PASSED</v>
      </c>
      <c r="J197" t="s">
        <v>270</v>
      </c>
      <c r="K197" t="s">
        <v>271</v>
      </c>
    </row>
    <row r="198" spans="1:11" x14ac:dyDescent="0.25">
      <c r="A198" s="5" t="s">
        <v>98</v>
      </c>
      <c r="B198" s="7" t="s">
        <v>273</v>
      </c>
      <c r="C198">
        <v>93</v>
      </c>
      <c r="D198">
        <v>90</v>
      </c>
      <c r="E198">
        <v>89</v>
      </c>
      <c r="F198">
        <v>83</v>
      </c>
      <c r="G198" s="9">
        <v>88.75</v>
      </c>
      <c r="H198" s="9">
        <f t="shared" si="47"/>
        <v>2</v>
      </c>
      <c r="I198" t="s">
        <v>285</v>
      </c>
      <c r="J198" t="s">
        <v>279</v>
      </c>
      <c r="K198" t="s">
        <v>274</v>
      </c>
    </row>
    <row r="199" spans="1:11" x14ac:dyDescent="0.25">
      <c r="A199" s="5" t="s">
        <v>98</v>
      </c>
      <c r="B199" s="7" t="s">
        <v>275</v>
      </c>
      <c r="C199">
        <v>93</v>
      </c>
      <c r="D199">
        <v>90</v>
      </c>
      <c r="E199">
        <v>89</v>
      </c>
      <c r="F199">
        <v>83</v>
      </c>
      <c r="G199" s="9">
        <v>88.75</v>
      </c>
      <c r="H199" s="9">
        <f t="shared" si="47"/>
        <v>2</v>
      </c>
      <c r="I199" t="s">
        <v>285</v>
      </c>
      <c r="J199" t="s">
        <v>279</v>
      </c>
      <c r="K199" t="s">
        <v>274</v>
      </c>
    </row>
    <row r="200" spans="1:11" x14ac:dyDescent="0.25">
      <c r="A200" s="5" t="str">
        <f>IFERROR(Students!B25, "Student Not Found")</f>
        <v>Bea Gonzales</v>
      </c>
      <c r="B200" s="7" t="s">
        <v>281</v>
      </c>
      <c r="C200">
        <v>89</v>
      </c>
      <c r="D200">
        <v>85</v>
      </c>
      <c r="E200">
        <v>78</v>
      </c>
      <c r="F200">
        <v>94</v>
      </c>
      <c r="G200" s="9">
        <f t="shared" ref="G200:G206" si="48">AVERAGE(C200:F200)</f>
        <v>86.5</v>
      </c>
      <c r="H200" s="9">
        <f t="shared" si="47"/>
        <v>2</v>
      </c>
      <c r="I200" t="str">
        <f t="shared" ref="I200:I206" si="49">IF(H200&lt;=3,"PASSED","FAILED")</f>
        <v>PASSED</v>
      </c>
      <c r="J200" t="s">
        <v>270</v>
      </c>
      <c r="K200" t="s">
        <v>271</v>
      </c>
    </row>
    <row r="201" spans="1:11" x14ac:dyDescent="0.25">
      <c r="A201" s="5" t="s">
        <v>128</v>
      </c>
      <c r="B201" s="7" t="s">
        <v>269</v>
      </c>
      <c r="C201">
        <v>97</v>
      </c>
      <c r="D201">
        <v>92</v>
      </c>
      <c r="E201">
        <v>80</v>
      </c>
      <c r="F201">
        <v>88</v>
      </c>
      <c r="G201" s="9">
        <f t="shared" si="48"/>
        <v>89.25</v>
      </c>
      <c r="H201" s="9">
        <f t="shared" si="47"/>
        <v>1.75</v>
      </c>
      <c r="I201" t="str">
        <f t="shared" si="49"/>
        <v>PASSED</v>
      </c>
      <c r="J201" t="s">
        <v>276</v>
      </c>
      <c r="K201" t="s">
        <v>274</v>
      </c>
    </row>
    <row r="202" spans="1:11" x14ac:dyDescent="0.25">
      <c r="A202" s="5" t="s">
        <v>128</v>
      </c>
      <c r="B202" s="7" t="s">
        <v>272</v>
      </c>
      <c r="C202">
        <v>77</v>
      </c>
      <c r="D202">
        <v>96</v>
      </c>
      <c r="E202">
        <v>84</v>
      </c>
      <c r="F202">
        <v>99</v>
      </c>
      <c r="G202" s="9">
        <f t="shared" si="48"/>
        <v>89</v>
      </c>
      <c r="H202" s="9">
        <f t="shared" si="47"/>
        <v>1.75</v>
      </c>
      <c r="I202" t="str">
        <f t="shared" si="49"/>
        <v>PASSED</v>
      </c>
      <c r="J202" t="s">
        <v>276</v>
      </c>
      <c r="K202" t="s">
        <v>274</v>
      </c>
    </row>
    <row r="203" spans="1:11" x14ac:dyDescent="0.25">
      <c r="A203" s="5" t="s">
        <v>128</v>
      </c>
      <c r="B203" s="7" t="s">
        <v>280</v>
      </c>
      <c r="C203">
        <v>89</v>
      </c>
      <c r="D203">
        <v>90</v>
      </c>
      <c r="E203">
        <v>88</v>
      </c>
      <c r="F203">
        <v>82</v>
      </c>
      <c r="G203" s="9">
        <f t="shared" si="48"/>
        <v>87.25</v>
      </c>
      <c r="H203" s="9">
        <f t="shared" si="47"/>
        <v>2</v>
      </c>
      <c r="I203" t="str">
        <f t="shared" si="49"/>
        <v>PASSED</v>
      </c>
      <c r="J203" t="s">
        <v>279</v>
      </c>
      <c r="K203" t="s">
        <v>271</v>
      </c>
    </row>
    <row r="204" spans="1:11" x14ac:dyDescent="0.25">
      <c r="A204" s="5" t="s">
        <v>128</v>
      </c>
      <c r="B204" s="7" t="s">
        <v>282</v>
      </c>
      <c r="C204">
        <v>80</v>
      </c>
      <c r="D204">
        <v>97</v>
      </c>
      <c r="E204">
        <v>97</v>
      </c>
      <c r="F204">
        <v>75</v>
      </c>
      <c r="G204" s="9">
        <f t="shared" si="48"/>
        <v>87.25</v>
      </c>
      <c r="H204" s="9">
        <f t="shared" si="47"/>
        <v>2</v>
      </c>
      <c r="I204" t="str">
        <f t="shared" si="49"/>
        <v>PASSED</v>
      </c>
      <c r="J204" t="s">
        <v>279</v>
      </c>
      <c r="K204" t="s">
        <v>271</v>
      </c>
    </row>
    <row r="205" spans="1:11" x14ac:dyDescent="0.25">
      <c r="A205" s="5" t="s">
        <v>128</v>
      </c>
      <c r="B205" s="7" t="s">
        <v>278</v>
      </c>
      <c r="C205">
        <v>94</v>
      </c>
      <c r="D205">
        <v>95</v>
      </c>
      <c r="E205">
        <v>78</v>
      </c>
      <c r="F205">
        <v>80</v>
      </c>
      <c r="G205" s="9">
        <f t="shared" si="48"/>
        <v>86.75</v>
      </c>
      <c r="H205" s="9">
        <f t="shared" si="47"/>
        <v>2</v>
      </c>
      <c r="I205" t="str">
        <f t="shared" si="49"/>
        <v>PASSED</v>
      </c>
      <c r="J205" t="s">
        <v>270</v>
      </c>
      <c r="K205" t="s">
        <v>274</v>
      </c>
    </row>
    <row r="206" spans="1:11" x14ac:dyDescent="0.25">
      <c r="A206" s="5" t="s">
        <v>128</v>
      </c>
      <c r="B206" s="7" t="s">
        <v>277</v>
      </c>
      <c r="C206">
        <v>81</v>
      </c>
      <c r="D206">
        <v>99</v>
      </c>
      <c r="E206">
        <v>92</v>
      </c>
      <c r="F206">
        <v>94</v>
      </c>
      <c r="G206" s="9">
        <f t="shared" si="48"/>
        <v>91.5</v>
      </c>
      <c r="H206" s="9">
        <f t="shared" si="47"/>
        <v>1.5</v>
      </c>
      <c r="I206" t="str">
        <f t="shared" si="49"/>
        <v>PASSED</v>
      </c>
      <c r="J206" t="s">
        <v>270</v>
      </c>
      <c r="K206" t="s">
        <v>274</v>
      </c>
    </row>
    <row r="207" spans="1:11" x14ac:dyDescent="0.25">
      <c r="A207" s="5" t="s">
        <v>128</v>
      </c>
      <c r="B207" s="7" t="s">
        <v>273</v>
      </c>
      <c r="C207">
        <v>76</v>
      </c>
      <c r="D207">
        <v>82</v>
      </c>
      <c r="E207">
        <v>84</v>
      </c>
      <c r="F207">
        <v>81</v>
      </c>
      <c r="G207" s="9">
        <v>80.75</v>
      </c>
      <c r="H207" s="9">
        <f t="shared" si="47"/>
        <v>2.5</v>
      </c>
      <c r="I207" t="s">
        <v>285</v>
      </c>
      <c r="J207" t="s">
        <v>270</v>
      </c>
      <c r="K207" t="s">
        <v>271</v>
      </c>
    </row>
    <row r="208" spans="1:11" x14ac:dyDescent="0.25">
      <c r="A208" s="5" t="s">
        <v>128</v>
      </c>
      <c r="B208" s="7" t="s">
        <v>275</v>
      </c>
      <c r="C208">
        <v>76</v>
      </c>
      <c r="D208">
        <v>82</v>
      </c>
      <c r="E208">
        <v>84</v>
      </c>
      <c r="F208">
        <v>81</v>
      </c>
      <c r="G208" s="9">
        <v>80.75</v>
      </c>
      <c r="H208" s="9">
        <f t="shared" si="47"/>
        <v>2.5</v>
      </c>
      <c r="I208" t="s">
        <v>285</v>
      </c>
      <c r="J208" t="s">
        <v>270</v>
      </c>
      <c r="K208" t="s">
        <v>271</v>
      </c>
    </row>
    <row r="209" spans="1:11" x14ac:dyDescent="0.25">
      <c r="A209" s="5" t="str">
        <f>IFERROR(Students!B22, "Student Not Found")</f>
        <v>Bea Lopez</v>
      </c>
      <c r="B209" s="7" t="s">
        <v>281</v>
      </c>
      <c r="C209">
        <v>83</v>
      </c>
      <c r="D209">
        <v>78</v>
      </c>
      <c r="E209">
        <v>79</v>
      </c>
      <c r="F209">
        <v>86</v>
      </c>
      <c r="G209" s="9">
        <f t="shared" ref="G209:G215" si="50">AVERAGE(C209:F209)</f>
        <v>81.5</v>
      </c>
      <c r="H209" s="9">
        <f t="shared" si="47"/>
        <v>2.5</v>
      </c>
      <c r="I209" t="str">
        <f t="shared" ref="I209:I215" si="51">IF(H209&lt;=3,"PASSED","FAILED")</f>
        <v>PASSED</v>
      </c>
      <c r="J209" t="s">
        <v>276</v>
      </c>
      <c r="K209" t="s">
        <v>271</v>
      </c>
    </row>
    <row r="210" spans="1:11" x14ac:dyDescent="0.25">
      <c r="A210" s="5" t="s">
        <v>113</v>
      </c>
      <c r="B210" s="7" t="s">
        <v>269</v>
      </c>
      <c r="C210">
        <v>91</v>
      </c>
      <c r="D210">
        <v>86</v>
      </c>
      <c r="E210">
        <v>93</v>
      </c>
      <c r="F210">
        <v>77</v>
      </c>
      <c r="G210" s="9">
        <f t="shared" si="50"/>
        <v>86.75</v>
      </c>
      <c r="H210" s="9">
        <f t="shared" si="47"/>
        <v>2</v>
      </c>
      <c r="I210" t="str">
        <f t="shared" si="51"/>
        <v>PASSED</v>
      </c>
      <c r="J210" t="s">
        <v>270</v>
      </c>
      <c r="K210" t="s">
        <v>274</v>
      </c>
    </row>
    <row r="211" spans="1:11" x14ac:dyDescent="0.25">
      <c r="A211" s="5" t="s">
        <v>113</v>
      </c>
      <c r="B211" s="7" t="s">
        <v>272</v>
      </c>
      <c r="C211">
        <v>88</v>
      </c>
      <c r="D211">
        <v>82</v>
      </c>
      <c r="E211">
        <v>79</v>
      </c>
      <c r="F211">
        <v>96</v>
      </c>
      <c r="G211" s="9">
        <f t="shared" si="50"/>
        <v>86.25</v>
      </c>
      <c r="H211" s="9">
        <f t="shared" si="47"/>
        <v>2</v>
      </c>
      <c r="I211" t="str">
        <f t="shared" si="51"/>
        <v>PASSED</v>
      </c>
      <c r="J211" t="s">
        <v>276</v>
      </c>
      <c r="K211" t="s">
        <v>271</v>
      </c>
    </row>
    <row r="212" spans="1:11" x14ac:dyDescent="0.25">
      <c r="A212" s="5" t="s">
        <v>113</v>
      </c>
      <c r="B212" s="7" t="s">
        <v>280</v>
      </c>
      <c r="C212">
        <v>90</v>
      </c>
      <c r="D212">
        <v>96</v>
      </c>
      <c r="E212">
        <v>85</v>
      </c>
      <c r="F212">
        <v>92</v>
      </c>
      <c r="G212" s="9">
        <f t="shared" si="50"/>
        <v>90.75</v>
      </c>
      <c r="H212" s="9">
        <f t="shared" si="47"/>
        <v>1.75</v>
      </c>
      <c r="I212" t="str">
        <f t="shared" si="51"/>
        <v>PASSED</v>
      </c>
      <c r="J212" t="s">
        <v>270</v>
      </c>
      <c r="K212" t="s">
        <v>271</v>
      </c>
    </row>
    <row r="213" spans="1:11" x14ac:dyDescent="0.25">
      <c r="A213" s="5" t="s">
        <v>113</v>
      </c>
      <c r="B213" s="7" t="s">
        <v>282</v>
      </c>
      <c r="C213">
        <v>92</v>
      </c>
      <c r="D213">
        <v>76</v>
      </c>
      <c r="E213">
        <v>90</v>
      </c>
      <c r="F213">
        <v>85</v>
      </c>
      <c r="G213" s="9">
        <f t="shared" si="50"/>
        <v>85.75</v>
      </c>
      <c r="H213" s="9">
        <f t="shared" si="47"/>
        <v>2.25</v>
      </c>
      <c r="I213" t="str">
        <f t="shared" si="51"/>
        <v>PASSED</v>
      </c>
      <c r="J213" t="s">
        <v>276</v>
      </c>
      <c r="K213" t="s">
        <v>271</v>
      </c>
    </row>
    <row r="214" spans="1:11" x14ac:dyDescent="0.25">
      <c r="A214" s="5" t="s">
        <v>113</v>
      </c>
      <c r="B214" s="7" t="s">
        <v>278</v>
      </c>
      <c r="C214">
        <v>77</v>
      </c>
      <c r="D214">
        <v>94</v>
      </c>
      <c r="E214">
        <v>84</v>
      </c>
      <c r="F214">
        <v>86</v>
      </c>
      <c r="G214" s="9">
        <f t="shared" si="50"/>
        <v>85.25</v>
      </c>
      <c r="H214" s="9">
        <f t="shared" si="47"/>
        <v>2.25</v>
      </c>
      <c r="I214" t="str">
        <f t="shared" si="51"/>
        <v>PASSED</v>
      </c>
      <c r="J214" t="s">
        <v>279</v>
      </c>
      <c r="K214" t="s">
        <v>274</v>
      </c>
    </row>
    <row r="215" spans="1:11" x14ac:dyDescent="0.25">
      <c r="A215" s="5" t="s">
        <v>113</v>
      </c>
      <c r="B215" s="7" t="s">
        <v>277</v>
      </c>
      <c r="C215">
        <v>97</v>
      </c>
      <c r="D215">
        <v>87</v>
      </c>
      <c r="E215">
        <v>88</v>
      </c>
      <c r="F215">
        <v>98</v>
      </c>
      <c r="G215" s="9">
        <f t="shared" si="50"/>
        <v>92.5</v>
      </c>
      <c r="H215" s="9">
        <f t="shared" si="47"/>
        <v>1.5</v>
      </c>
      <c r="I215" t="str">
        <f t="shared" si="51"/>
        <v>PASSED</v>
      </c>
      <c r="J215" t="s">
        <v>276</v>
      </c>
      <c r="K215" t="s">
        <v>271</v>
      </c>
    </row>
    <row r="216" spans="1:11" x14ac:dyDescent="0.25">
      <c r="A216" s="5" t="s">
        <v>113</v>
      </c>
      <c r="B216" s="7" t="s">
        <v>273</v>
      </c>
      <c r="C216">
        <v>82</v>
      </c>
      <c r="D216">
        <v>98</v>
      </c>
      <c r="E216">
        <v>80</v>
      </c>
      <c r="F216">
        <v>75</v>
      </c>
      <c r="G216" s="9">
        <v>83.75</v>
      </c>
      <c r="H216" s="9">
        <f t="shared" si="47"/>
        <v>2.25</v>
      </c>
      <c r="I216" t="s">
        <v>285</v>
      </c>
      <c r="J216" t="s">
        <v>276</v>
      </c>
      <c r="K216" t="s">
        <v>271</v>
      </c>
    </row>
    <row r="217" spans="1:11" x14ac:dyDescent="0.25">
      <c r="A217" s="5" t="s">
        <v>113</v>
      </c>
      <c r="B217" s="7" t="s">
        <v>275</v>
      </c>
      <c r="C217">
        <v>82</v>
      </c>
      <c r="D217">
        <v>98</v>
      </c>
      <c r="E217">
        <v>80</v>
      </c>
      <c r="F217">
        <v>75</v>
      </c>
      <c r="G217" s="9">
        <v>83.75</v>
      </c>
      <c r="H217" s="9">
        <f t="shared" si="47"/>
        <v>2.25</v>
      </c>
      <c r="I217" t="s">
        <v>285</v>
      </c>
      <c r="J217" t="s">
        <v>276</v>
      </c>
      <c r="K217" t="s">
        <v>271</v>
      </c>
    </row>
    <row r="218" spans="1:11" x14ac:dyDescent="0.25">
      <c r="A218" s="5" t="str">
        <f>IFERROR(Students!B28, "Student Not Found")</f>
        <v>Bea Mendoza</v>
      </c>
      <c r="B218" s="7" t="s">
        <v>281</v>
      </c>
      <c r="C218">
        <v>79</v>
      </c>
      <c r="D218">
        <v>84</v>
      </c>
      <c r="E218">
        <v>87</v>
      </c>
      <c r="F218">
        <v>78</v>
      </c>
      <c r="G218" s="9">
        <f t="shared" ref="G218:G224" si="52">AVERAGE(C218:F218)</f>
        <v>82</v>
      </c>
      <c r="H218" s="9">
        <f t="shared" si="47"/>
        <v>2.5</v>
      </c>
      <c r="I218" t="str">
        <f t="shared" ref="I218:I224" si="53">IF(H218&lt;=3,"PASSED","FAILED")</f>
        <v>PASSED</v>
      </c>
      <c r="J218" t="s">
        <v>279</v>
      </c>
      <c r="K218" t="s">
        <v>271</v>
      </c>
    </row>
    <row r="219" spans="1:11" x14ac:dyDescent="0.25">
      <c r="A219" s="5" t="s">
        <v>143</v>
      </c>
      <c r="B219" s="7" t="s">
        <v>269</v>
      </c>
      <c r="C219">
        <v>77</v>
      </c>
      <c r="D219">
        <v>81</v>
      </c>
      <c r="E219">
        <v>95</v>
      </c>
      <c r="F219">
        <v>84</v>
      </c>
      <c r="G219" s="9">
        <f t="shared" si="52"/>
        <v>84.25</v>
      </c>
      <c r="H219" s="9">
        <f t="shared" si="47"/>
        <v>2.25</v>
      </c>
      <c r="I219" t="str">
        <f t="shared" si="53"/>
        <v>PASSED</v>
      </c>
      <c r="J219" t="s">
        <v>270</v>
      </c>
      <c r="K219" t="s">
        <v>271</v>
      </c>
    </row>
    <row r="220" spans="1:11" x14ac:dyDescent="0.25">
      <c r="A220" s="5" t="s">
        <v>143</v>
      </c>
      <c r="B220" s="7" t="s">
        <v>272</v>
      </c>
      <c r="C220">
        <v>98</v>
      </c>
      <c r="D220">
        <v>91</v>
      </c>
      <c r="E220">
        <v>94</v>
      </c>
      <c r="F220">
        <v>93</v>
      </c>
      <c r="G220" s="9">
        <f t="shared" si="52"/>
        <v>94</v>
      </c>
      <c r="H220" s="9">
        <f t="shared" si="47"/>
        <v>1.25</v>
      </c>
      <c r="I220" t="str">
        <f t="shared" si="53"/>
        <v>PASSED</v>
      </c>
      <c r="J220" t="s">
        <v>270</v>
      </c>
      <c r="K220" t="s">
        <v>274</v>
      </c>
    </row>
    <row r="221" spans="1:11" x14ac:dyDescent="0.25">
      <c r="A221" s="5" t="s">
        <v>143</v>
      </c>
      <c r="B221" s="7" t="s">
        <v>280</v>
      </c>
      <c r="C221">
        <v>93</v>
      </c>
      <c r="D221">
        <v>96</v>
      </c>
      <c r="E221">
        <v>96</v>
      </c>
      <c r="F221">
        <v>88</v>
      </c>
      <c r="G221" s="9">
        <f t="shared" si="52"/>
        <v>93.25</v>
      </c>
      <c r="H221" s="9">
        <f t="shared" si="47"/>
        <v>1.5</v>
      </c>
      <c r="I221" t="str">
        <f t="shared" si="53"/>
        <v>PASSED</v>
      </c>
      <c r="J221" t="s">
        <v>270</v>
      </c>
      <c r="K221" t="s">
        <v>271</v>
      </c>
    </row>
    <row r="222" spans="1:11" x14ac:dyDescent="0.25">
      <c r="A222" s="5" t="s">
        <v>143</v>
      </c>
      <c r="B222" s="7" t="s">
        <v>282</v>
      </c>
      <c r="C222">
        <v>84</v>
      </c>
      <c r="D222">
        <v>88</v>
      </c>
      <c r="E222">
        <v>95</v>
      </c>
      <c r="F222">
        <v>86</v>
      </c>
      <c r="G222" s="9">
        <f t="shared" si="52"/>
        <v>88.25</v>
      </c>
      <c r="H222" s="9">
        <f t="shared" si="47"/>
        <v>2</v>
      </c>
      <c r="I222" t="str">
        <f t="shared" si="53"/>
        <v>PASSED</v>
      </c>
      <c r="J222" t="s">
        <v>270</v>
      </c>
      <c r="K222" t="s">
        <v>274</v>
      </c>
    </row>
    <row r="223" spans="1:11" x14ac:dyDescent="0.25">
      <c r="A223" s="5" t="s">
        <v>143</v>
      </c>
      <c r="B223" s="7" t="s">
        <v>278</v>
      </c>
      <c r="C223">
        <v>79</v>
      </c>
      <c r="D223">
        <v>86</v>
      </c>
      <c r="E223">
        <v>77</v>
      </c>
      <c r="F223">
        <v>82</v>
      </c>
      <c r="G223" s="9">
        <f t="shared" si="52"/>
        <v>81</v>
      </c>
      <c r="H223" s="9">
        <f t="shared" si="47"/>
        <v>2.5</v>
      </c>
      <c r="I223" t="str">
        <f t="shared" si="53"/>
        <v>PASSED</v>
      </c>
      <c r="J223" t="s">
        <v>270</v>
      </c>
      <c r="K223" t="s">
        <v>271</v>
      </c>
    </row>
    <row r="224" spans="1:11" x14ac:dyDescent="0.25">
      <c r="A224" s="5" t="s">
        <v>143</v>
      </c>
      <c r="B224" s="7" t="s">
        <v>277</v>
      </c>
      <c r="C224">
        <v>83</v>
      </c>
      <c r="D224">
        <v>83</v>
      </c>
      <c r="E224">
        <v>77</v>
      </c>
      <c r="F224">
        <v>84</v>
      </c>
      <c r="G224" s="9">
        <f t="shared" si="52"/>
        <v>81.75</v>
      </c>
      <c r="H224" s="9">
        <f t="shared" si="47"/>
        <v>2.5</v>
      </c>
      <c r="I224" t="str">
        <f t="shared" si="53"/>
        <v>PASSED</v>
      </c>
      <c r="J224" t="s">
        <v>276</v>
      </c>
      <c r="K224" t="s">
        <v>271</v>
      </c>
    </row>
    <row r="225" spans="1:11" x14ac:dyDescent="0.25">
      <c r="A225" s="5" t="s">
        <v>143</v>
      </c>
      <c r="B225" s="7" t="s">
        <v>273</v>
      </c>
      <c r="C225">
        <v>86</v>
      </c>
      <c r="D225">
        <v>85</v>
      </c>
      <c r="E225">
        <v>80</v>
      </c>
      <c r="F225">
        <v>77</v>
      </c>
      <c r="G225" s="9">
        <v>82</v>
      </c>
      <c r="H225" s="9">
        <f t="shared" si="47"/>
        <v>2.5</v>
      </c>
      <c r="I225" t="s">
        <v>285</v>
      </c>
      <c r="J225" t="s">
        <v>276</v>
      </c>
      <c r="K225" t="s">
        <v>274</v>
      </c>
    </row>
    <row r="226" spans="1:11" x14ac:dyDescent="0.25">
      <c r="A226" s="5" t="s">
        <v>143</v>
      </c>
      <c r="B226" s="7" t="s">
        <v>275</v>
      </c>
      <c r="C226">
        <v>86</v>
      </c>
      <c r="D226">
        <v>85</v>
      </c>
      <c r="E226">
        <v>80</v>
      </c>
      <c r="F226">
        <v>77</v>
      </c>
      <c r="G226" s="9">
        <v>82</v>
      </c>
      <c r="H226" s="9">
        <f t="shared" si="47"/>
        <v>2.5</v>
      </c>
      <c r="I226" t="s">
        <v>285</v>
      </c>
      <c r="J226" t="s">
        <v>276</v>
      </c>
      <c r="K226" t="s">
        <v>274</v>
      </c>
    </row>
    <row r="227" spans="1:11" x14ac:dyDescent="0.25">
      <c r="A227" s="5" t="str">
        <f>IFERROR(Students!B30, "Student Not Found")</f>
        <v>Bea Morales</v>
      </c>
      <c r="B227" s="7" t="s">
        <v>281</v>
      </c>
      <c r="C227">
        <v>92</v>
      </c>
      <c r="D227">
        <v>82</v>
      </c>
      <c r="E227">
        <v>94</v>
      </c>
      <c r="F227">
        <v>98</v>
      </c>
      <c r="G227" s="9">
        <f t="shared" ref="G227:G233" si="54">AVERAGE(C227:F227)</f>
        <v>91.5</v>
      </c>
      <c r="H227" s="9">
        <f t="shared" si="47"/>
        <v>1.5</v>
      </c>
      <c r="I227" t="str">
        <f t="shared" ref="I227:I233" si="55">IF(H227&lt;=3,"PASSED","FAILED")</f>
        <v>PASSED</v>
      </c>
      <c r="J227" t="s">
        <v>270</v>
      </c>
      <c r="K227" t="s">
        <v>274</v>
      </c>
    </row>
    <row r="228" spans="1:11" x14ac:dyDescent="0.25">
      <c r="A228" s="5" t="s">
        <v>153</v>
      </c>
      <c r="B228" s="7" t="s">
        <v>269</v>
      </c>
      <c r="C228">
        <v>77</v>
      </c>
      <c r="D228">
        <v>92</v>
      </c>
      <c r="E228">
        <v>93</v>
      </c>
      <c r="F228">
        <v>93</v>
      </c>
      <c r="G228" s="9">
        <f t="shared" si="54"/>
        <v>88.75</v>
      </c>
      <c r="H228" s="9">
        <f t="shared" si="47"/>
        <v>2</v>
      </c>
      <c r="I228" t="str">
        <f t="shared" si="55"/>
        <v>PASSED</v>
      </c>
      <c r="J228" t="s">
        <v>270</v>
      </c>
      <c r="K228" t="s">
        <v>271</v>
      </c>
    </row>
    <row r="229" spans="1:11" x14ac:dyDescent="0.25">
      <c r="A229" s="5" t="s">
        <v>153</v>
      </c>
      <c r="B229" s="7" t="s">
        <v>272</v>
      </c>
      <c r="C229">
        <v>76</v>
      </c>
      <c r="D229">
        <v>88</v>
      </c>
      <c r="E229">
        <v>84</v>
      </c>
      <c r="F229">
        <v>86</v>
      </c>
      <c r="G229" s="9">
        <f t="shared" si="54"/>
        <v>83.5</v>
      </c>
      <c r="H229" s="9">
        <f t="shared" si="47"/>
        <v>2.25</v>
      </c>
      <c r="I229" t="str">
        <f t="shared" si="55"/>
        <v>PASSED</v>
      </c>
      <c r="J229" t="s">
        <v>276</v>
      </c>
      <c r="K229" t="s">
        <v>271</v>
      </c>
    </row>
    <row r="230" spans="1:11" x14ac:dyDescent="0.25">
      <c r="A230" s="5" t="s">
        <v>153</v>
      </c>
      <c r="B230" s="7" t="s">
        <v>280</v>
      </c>
      <c r="C230">
        <v>81</v>
      </c>
      <c r="D230">
        <v>89</v>
      </c>
      <c r="E230">
        <v>88</v>
      </c>
      <c r="F230">
        <v>80</v>
      </c>
      <c r="G230" s="9">
        <f t="shared" si="54"/>
        <v>84.5</v>
      </c>
      <c r="H230" s="9">
        <f t="shared" si="47"/>
        <v>2.25</v>
      </c>
      <c r="I230" t="str">
        <f t="shared" si="55"/>
        <v>PASSED</v>
      </c>
      <c r="J230" t="s">
        <v>270</v>
      </c>
      <c r="K230" t="s">
        <v>271</v>
      </c>
    </row>
    <row r="231" spans="1:11" x14ac:dyDescent="0.25">
      <c r="A231" s="5" t="s">
        <v>153</v>
      </c>
      <c r="B231" s="7" t="s">
        <v>282</v>
      </c>
      <c r="C231">
        <v>90</v>
      </c>
      <c r="D231">
        <v>99</v>
      </c>
      <c r="E231">
        <v>75</v>
      </c>
      <c r="F231">
        <v>86</v>
      </c>
      <c r="G231" s="9">
        <f t="shared" si="54"/>
        <v>87.5</v>
      </c>
      <c r="H231" s="9">
        <f t="shared" si="47"/>
        <v>2</v>
      </c>
      <c r="I231" t="str">
        <f t="shared" si="55"/>
        <v>PASSED</v>
      </c>
      <c r="J231" t="s">
        <v>270</v>
      </c>
      <c r="K231" t="s">
        <v>271</v>
      </c>
    </row>
    <row r="232" spans="1:11" x14ac:dyDescent="0.25">
      <c r="A232" s="5" t="s">
        <v>153</v>
      </c>
      <c r="B232" s="7" t="s">
        <v>278</v>
      </c>
      <c r="C232">
        <v>94</v>
      </c>
      <c r="D232">
        <v>76</v>
      </c>
      <c r="E232">
        <v>89</v>
      </c>
      <c r="F232">
        <v>81</v>
      </c>
      <c r="G232" s="9">
        <f t="shared" si="54"/>
        <v>85</v>
      </c>
      <c r="H232" s="9">
        <f t="shared" si="47"/>
        <v>2.25</v>
      </c>
      <c r="I232" t="str">
        <f t="shared" si="55"/>
        <v>PASSED</v>
      </c>
      <c r="J232" t="s">
        <v>276</v>
      </c>
      <c r="K232" t="s">
        <v>271</v>
      </c>
    </row>
    <row r="233" spans="1:11" x14ac:dyDescent="0.25">
      <c r="A233" s="5" t="s">
        <v>153</v>
      </c>
      <c r="B233" s="7" t="s">
        <v>277</v>
      </c>
      <c r="C233">
        <v>90</v>
      </c>
      <c r="D233">
        <v>94</v>
      </c>
      <c r="E233">
        <v>94</v>
      </c>
      <c r="F233">
        <v>83</v>
      </c>
      <c r="G233" s="9">
        <f t="shared" si="54"/>
        <v>90.25</v>
      </c>
      <c r="H233" s="9">
        <f t="shared" si="47"/>
        <v>1.75</v>
      </c>
      <c r="I233" t="str">
        <f t="shared" si="55"/>
        <v>PASSED</v>
      </c>
      <c r="J233" t="s">
        <v>270</v>
      </c>
      <c r="K233" t="s">
        <v>271</v>
      </c>
    </row>
    <row r="234" spans="1:11" x14ac:dyDescent="0.25">
      <c r="A234" s="5" t="s">
        <v>153</v>
      </c>
      <c r="B234" s="7" t="s">
        <v>273</v>
      </c>
      <c r="C234">
        <v>78</v>
      </c>
      <c r="D234">
        <v>83</v>
      </c>
      <c r="E234">
        <v>83</v>
      </c>
      <c r="F234">
        <v>91</v>
      </c>
      <c r="G234" s="9">
        <v>83.75</v>
      </c>
      <c r="H234" s="9">
        <f t="shared" si="47"/>
        <v>2.25</v>
      </c>
      <c r="I234" t="s">
        <v>285</v>
      </c>
      <c r="J234" t="s">
        <v>279</v>
      </c>
      <c r="K234" t="s">
        <v>271</v>
      </c>
    </row>
    <row r="235" spans="1:11" x14ac:dyDescent="0.25">
      <c r="A235" s="5" t="s">
        <v>153</v>
      </c>
      <c r="B235" s="7" t="s">
        <v>275</v>
      </c>
      <c r="C235">
        <v>78</v>
      </c>
      <c r="D235">
        <v>83</v>
      </c>
      <c r="E235">
        <v>83</v>
      </c>
      <c r="F235">
        <v>91</v>
      </c>
      <c r="G235" s="9">
        <v>83.75</v>
      </c>
      <c r="H235" s="9">
        <f t="shared" si="47"/>
        <v>2.25</v>
      </c>
      <c r="I235" t="s">
        <v>285</v>
      </c>
      <c r="J235" t="s">
        <v>279</v>
      </c>
      <c r="K235" t="s">
        <v>271</v>
      </c>
    </row>
    <row r="236" spans="1:11" x14ac:dyDescent="0.25">
      <c r="A236" s="5" t="str">
        <f>IFERROR(Students!B33, "Student Not Found")</f>
        <v>Bea Perez</v>
      </c>
      <c r="B236" s="7" t="s">
        <v>281</v>
      </c>
      <c r="C236">
        <v>82</v>
      </c>
      <c r="D236">
        <v>97</v>
      </c>
      <c r="E236">
        <v>81</v>
      </c>
      <c r="F236">
        <v>92</v>
      </c>
      <c r="G236" s="9">
        <f t="shared" ref="G236:G242" si="56">AVERAGE(C236:F236)</f>
        <v>88</v>
      </c>
      <c r="H236" s="9">
        <f t="shared" si="47"/>
        <v>2</v>
      </c>
      <c r="I236" t="str">
        <f t="shared" ref="I236:I242" si="57">IF(H236&lt;=3,"PASSED","FAILED")</f>
        <v>PASSED</v>
      </c>
      <c r="J236" t="s">
        <v>276</v>
      </c>
      <c r="K236" t="s">
        <v>271</v>
      </c>
    </row>
    <row r="237" spans="1:11" x14ac:dyDescent="0.25">
      <c r="A237" s="5" t="s">
        <v>168</v>
      </c>
      <c r="B237" s="7" t="s">
        <v>269</v>
      </c>
      <c r="C237">
        <v>97</v>
      </c>
      <c r="D237">
        <v>76</v>
      </c>
      <c r="E237">
        <v>91</v>
      </c>
      <c r="F237">
        <v>89</v>
      </c>
      <c r="G237" s="9">
        <f t="shared" si="56"/>
        <v>88.25</v>
      </c>
      <c r="H237" s="9">
        <f t="shared" si="47"/>
        <v>2</v>
      </c>
      <c r="I237" t="str">
        <f t="shared" si="57"/>
        <v>PASSED</v>
      </c>
      <c r="J237" t="s">
        <v>270</v>
      </c>
      <c r="K237" t="s">
        <v>271</v>
      </c>
    </row>
    <row r="238" spans="1:11" x14ac:dyDescent="0.25">
      <c r="A238" s="5" t="s">
        <v>168</v>
      </c>
      <c r="B238" s="7" t="s">
        <v>272</v>
      </c>
      <c r="C238">
        <v>81</v>
      </c>
      <c r="D238">
        <v>98</v>
      </c>
      <c r="E238">
        <v>83</v>
      </c>
      <c r="F238">
        <v>97</v>
      </c>
      <c r="G238" s="9">
        <f t="shared" si="56"/>
        <v>89.75</v>
      </c>
      <c r="H238" s="9">
        <f t="shared" si="47"/>
        <v>1.75</v>
      </c>
      <c r="I238" t="str">
        <f t="shared" si="57"/>
        <v>PASSED</v>
      </c>
      <c r="J238" t="s">
        <v>270</v>
      </c>
      <c r="K238" t="s">
        <v>274</v>
      </c>
    </row>
    <row r="239" spans="1:11" x14ac:dyDescent="0.25">
      <c r="A239" s="5" t="s">
        <v>168</v>
      </c>
      <c r="B239" s="7" t="s">
        <v>280</v>
      </c>
      <c r="C239">
        <v>76</v>
      </c>
      <c r="D239">
        <v>85</v>
      </c>
      <c r="E239">
        <v>85</v>
      </c>
      <c r="F239">
        <v>90</v>
      </c>
      <c r="G239" s="9">
        <f t="shared" si="56"/>
        <v>84</v>
      </c>
      <c r="H239" s="9">
        <f t="shared" si="47"/>
        <v>2.25</v>
      </c>
      <c r="I239" t="str">
        <f t="shared" si="57"/>
        <v>PASSED</v>
      </c>
      <c r="J239" t="s">
        <v>270</v>
      </c>
      <c r="K239" t="s">
        <v>274</v>
      </c>
    </row>
    <row r="240" spans="1:11" x14ac:dyDescent="0.25">
      <c r="A240" s="5" t="s">
        <v>168</v>
      </c>
      <c r="B240" s="7" t="s">
        <v>282</v>
      </c>
      <c r="C240">
        <v>82</v>
      </c>
      <c r="D240">
        <v>75</v>
      </c>
      <c r="E240">
        <v>93</v>
      </c>
      <c r="F240">
        <v>76</v>
      </c>
      <c r="G240" s="9">
        <f t="shared" si="56"/>
        <v>81.5</v>
      </c>
      <c r="H240" s="9">
        <f t="shared" si="47"/>
        <v>2.5</v>
      </c>
      <c r="I240" t="str">
        <f t="shared" si="57"/>
        <v>PASSED</v>
      </c>
      <c r="J240" t="s">
        <v>270</v>
      </c>
      <c r="K240" t="s">
        <v>271</v>
      </c>
    </row>
    <row r="241" spans="1:11" x14ac:dyDescent="0.25">
      <c r="A241" s="5" t="s">
        <v>168</v>
      </c>
      <c r="B241" s="7" t="s">
        <v>278</v>
      </c>
      <c r="C241">
        <v>96</v>
      </c>
      <c r="D241">
        <v>88</v>
      </c>
      <c r="E241">
        <v>85</v>
      </c>
      <c r="F241">
        <v>75</v>
      </c>
      <c r="G241" s="9">
        <f t="shared" si="56"/>
        <v>86</v>
      </c>
      <c r="H241" s="9">
        <f t="shared" si="47"/>
        <v>2</v>
      </c>
      <c r="I241" t="str">
        <f t="shared" si="57"/>
        <v>PASSED</v>
      </c>
      <c r="J241" t="s">
        <v>270</v>
      </c>
      <c r="K241" t="s">
        <v>274</v>
      </c>
    </row>
    <row r="242" spans="1:11" x14ac:dyDescent="0.25">
      <c r="A242" s="5" t="s">
        <v>168</v>
      </c>
      <c r="B242" s="7" t="s">
        <v>277</v>
      </c>
      <c r="C242">
        <v>76</v>
      </c>
      <c r="D242">
        <v>78</v>
      </c>
      <c r="E242">
        <v>98</v>
      </c>
      <c r="F242">
        <v>84</v>
      </c>
      <c r="G242" s="9">
        <f t="shared" si="56"/>
        <v>84</v>
      </c>
      <c r="H242" s="9">
        <f t="shared" si="47"/>
        <v>2.25</v>
      </c>
      <c r="I242" t="str">
        <f t="shared" si="57"/>
        <v>PASSED</v>
      </c>
      <c r="J242" t="s">
        <v>270</v>
      </c>
      <c r="K242" t="s">
        <v>274</v>
      </c>
    </row>
    <row r="243" spans="1:11" x14ac:dyDescent="0.25">
      <c r="A243" s="5" t="s">
        <v>168</v>
      </c>
      <c r="B243" s="7" t="s">
        <v>273</v>
      </c>
      <c r="C243">
        <v>83</v>
      </c>
      <c r="D243">
        <v>77</v>
      </c>
      <c r="E243">
        <v>91</v>
      </c>
      <c r="F243">
        <v>86</v>
      </c>
      <c r="G243" s="9">
        <v>84.25</v>
      </c>
      <c r="H243" s="9">
        <f t="shared" si="47"/>
        <v>2.25</v>
      </c>
      <c r="I243" t="s">
        <v>285</v>
      </c>
      <c r="J243" t="s">
        <v>270</v>
      </c>
      <c r="K243" t="s">
        <v>274</v>
      </c>
    </row>
    <row r="244" spans="1:11" x14ac:dyDescent="0.25">
      <c r="A244" s="5" t="s">
        <v>168</v>
      </c>
      <c r="B244" s="7" t="s">
        <v>275</v>
      </c>
      <c r="C244">
        <v>83</v>
      </c>
      <c r="D244">
        <v>77</v>
      </c>
      <c r="E244">
        <v>91</v>
      </c>
      <c r="F244">
        <v>86</v>
      </c>
      <c r="G244" s="9">
        <v>84.25</v>
      </c>
      <c r="H244" s="9">
        <f t="shared" si="47"/>
        <v>2.25</v>
      </c>
      <c r="I244" t="s">
        <v>285</v>
      </c>
      <c r="J244" t="s">
        <v>270</v>
      </c>
      <c r="K244" t="s">
        <v>274</v>
      </c>
    </row>
    <row r="245" spans="1:11" x14ac:dyDescent="0.25">
      <c r="A245" s="5" t="str">
        <f>IFERROR(Students!B24, "Student Not Found")</f>
        <v>Bea Ramos</v>
      </c>
      <c r="B245" s="7" t="s">
        <v>281</v>
      </c>
      <c r="C245">
        <v>77</v>
      </c>
      <c r="D245">
        <v>76</v>
      </c>
      <c r="E245">
        <v>90</v>
      </c>
      <c r="F245">
        <v>96</v>
      </c>
      <c r="G245" s="9">
        <f t="shared" ref="G245:G251" si="58">AVERAGE(C245:F245)</f>
        <v>84.75</v>
      </c>
      <c r="H245" s="9">
        <f t="shared" si="47"/>
        <v>2.25</v>
      </c>
      <c r="I245" t="str">
        <f t="shared" ref="I245:I251" si="59">IF(H245&lt;=3,"PASSED","FAILED")</f>
        <v>PASSED</v>
      </c>
      <c r="J245" t="s">
        <v>270</v>
      </c>
      <c r="K245" t="s">
        <v>274</v>
      </c>
    </row>
    <row r="246" spans="1:11" x14ac:dyDescent="0.25">
      <c r="A246" s="5" t="s">
        <v>123</v>
      </c>
      <c r="B246" s="7" t="s">
        <v>269</v>
      </c>
      <c r="C246">
        <v>95</v>
      </c>
      <c r="D246">
        <v>93</v>
      </c>
      <c r="E246">
        <v>82</v>
      </c>
      <c r="F246">
        <v>75</v>
      </c>
      <c r="G246" s="9">
        <f t="shared" si="58"/>
        <v>86.25</v>
      </c>
      <c r="H246" s="9">
        <f t="shared" si="47"/>
        <v>2</v>
      </c>
      <c r="I246" t="str">
        <f t="shared" si="59"/>
        <v>PASSED</v>
      </c>
      <c r="J246" t="s">
        <v>270</v>
      </c>
      <c r="K246" t="s">
        <v>274</v>
      </c>
    </row>
    <row r="247" spans="1:11" x14ac:dyDescent="0.25">
      <c r="A247" s="5" t="s">
        <v>123</v>
      </c>
      <c r="B247" s="7" t="s">
        <v>272</v>
      </c>
      <c r="C247">
        <v>86</v>
      </c>
      <c r="D247">
        <v>83</v>
      </c>
      <c r="E247">
        <v>86</v>
      </c>
      <c r="F247">
        <v>94</v>
      </c>
      <c r="G247" s="9">
        <f t="shared" si="58"/>
        <v>87.25</v>
      </c>
      <c r="H247" s="9">
        <f t="shared" si="47"/>
        <v>2</v>
      </c>
      <c r="I247" t="str">
        <f t="shared" si="59"/>
        <v>PASSED</v>
      </c>
      <c r="J247" t="s">
        <v>279</v>
      </c>
      <c r="K247" t="s">
        <v>271</v>
      </c>
    </row>
    <row r="248" spans="1:11" x14ac:dyDescent="0.25">
      <c r="A248" s="5" t="s">
        <v>123</v>
      </c>
      <c r="B248" s="7" t="s">
        <v>280</v>
      </c>
      <c r="C248">
        <v>84</v>
      </c>
      <c r="D248">
        <v>87</v>
      </c>
      <c r="E248">
        <v>90</v>
      </c>
      <c r="F248">
        <v>95</v>
      </c>
      <c r="G248" s="9">
        <f t="shared" si="58"/>
        <v>89</v>
      </c>
      <c r="H248" s="9">
        <f t="shared" si="47"/>
        <v>1.75</v>
      </c>
      <c r="I248" t="str">
        <f t="shared" si="59"/>
        <v>PASSED</v>
      </c>
      <c r="J248" t="s">
        <v>279</v>
      </c>
      <c r="K248" t="s">
        <v>274</v>
      </c>
    </row>
    <row r="249" spans="1:11" x14ac:dyDescent="0.25">
      <c r="A249" s="5" t="s">
        <v>123</v>
      </c>
      <c r="B249" s="7" t="s">
        <v>282</v>
      </c>
      <c r="C249">
        <v>81</v>
      </c>
      <c r="D249">
        <v>85</v>
      </c>
      <c r="E249">
        <v>91</v>
      </c>
      <c r="F249">
        <v>77</v>
      </c>
      <c r="G249" s="9">
        <f t="shared" si="58"/>
        <v>83.5</v>
      </c>
      <c r="H249" s="9">
        <f t="shared" si="47"/>
        <v>2.25</v>
      </c>
      <c r="I249" t="str">
        <f t="shared" si="59"/>
        <v>PASSED</v>
      </c>
      <c r="J249" t="s">
        <v>270</v>
      </c>
      <c r="K249" t="s">
        <v>274</v>
      </c>
    </row>
    <row r="250" spans="1:11" x14ac:dyDescent="0.25">
      <c r="A250" s="5" t="s">
        <v>123</v>
      </c>
      <c r="B250" s="7" t="s">
        <v>278</v>
      </c>
      <c r="C250">
        <v>79</v>
      </c>
      <c r="D250">
        <v>80</v>
      </c>
      <c r="E250">
        <v>78</v>
      </c>
      <c r="F250">
        <v>78</v>
      </c>
      <c r="G250" s="9">
        <f t="shared" si="58"/>
        <v>78.75</v>
      </c>
      <c r="H250" s="9">
        <f t="shared" si="47"/>
        <v>2.75</v>
      </c>
      <c r="I250" t="str">
        <f t="shared" si="59"/>
        <v>PASSED</v>
      </c>
      <c r="J250" t="s">
        <v>279</v>
      </c>
      <c r="K250" t="s">
        <v>271</v>
      </c>
    </row>
    <row r="251" spans="1:11" x14ac:dyDescent="0.25">
      <c r="A251" s="5" t="s">
        <v>123</v>
      </c>
      <c r="B251" s="7" t="s">
        <v>277</v>
      </c>
      <c r="C251">
        <v>87</v>
      </c>
      <c r="D251">
        <v>79</v>
      </c>
      <c r="E251">
        <v>88</v>
      </c>
      <c r="F251">
        <v>88</v>
      </c>
      <c r="G251" s="9">
        <f t="shared" si="58"/>
        <v>85.5</v>
      </c>
      <c r="H251" s="9">
        <f t="shared" si="47"/>
        <v>2.25</v>
      </c>
      <c r="I251" t="str">
        <f t="shared" si="59"/>
        <v>PASSED</v>
      </c>
      <c r="J251" t="s">
        <v>276</v>
      </c>
      <c r="K251" t="s">
        <v>271</v>
      </c>
    </row>
    <row r="252" spans="1:11" x14ac:dyDescent="0.25">
      <c r="A252" s="5" t="s">
        <v>123</v>
      </c>
      <c r="B252" s="7" t="s">
        <v>273</v>
      </c>
      <c r="C252">
        <v>98</v>
      </c>
      <c r="D252">
        <v>97</v>
      </c>
      <c r="E252">
        <v>83</v>
      </c>
      <c r="F252">
        <v>88</v>
      </c>
      <c r="G252" s="9">
        <v>91.5</v>
      </c>
      <c r="H252" s="9">
        <f t="shared" si="47"/>
        <v>1.5</v>
      </c>
      <c r="I252" t="s">
        <v>285</v>
      </c>
      <c r="J252" t="s">
        <v>276</v>
      </c>
      <c r="K252" t="s">
        <v>274</v>
      </c>
    </row>
    <row r="253" spans="1:11" x14ac:dyDescent="0.25">
      <c r="A253" s="5" t="s">
        <v>123</v>
      </c>
      <c r="B253" s="7" t="s">
        <v>275</v>
      </c>
      <c r="C253">
        <v>98</v>
      </c>
      <c r="D253">
        <v>97</v>
      </c>
      <c r="E253">
        <v>83</v>
      </c>
      <c r="F253">
        <v>88</v>
      </c>
      <c r="G253" s="9">
        <v>91.5</v>
      </c>
      <c r="H253" s="9">
        <f t="shared" si="47"/>
        <v>1.5</v>
      </c>
      <c r="I253" t="s">
        <v>285</v>
      </c>
      <c r="J253" t="s">
        <v>276</v>
      </c>
      <c r="K253" t="s">
        <v>274</v>
      </c>
    </row>
    <row r="254" spans="1:11" x14ac:dyDescent="0.25">
      <c r="A254" s="5" t="str">
        <f>IFERROR(Students!B20, "Student Not Found")</f>
        <v>Bea Reyes</v>
      </c>
      <c r="B254" s="7" t="s">
        <v>281</v>
      </c>
      <c r="C254">
        <v>90</v>
      </c>
      <c r="D254">
        <v>98</v>
      </c>
      <c r="E254">
        <v>90</v>
      </c>
      <c r="F254">
        <v>91</v>
      </c>
      <c r="G254" s="9">
        <f t="shared" ref="G254:G260" si="60">AVERAGE(C254:F254)</f>
        <v>92.25</v>
      </c>
      <c r="H254" s="9">
        <f t="shared" si="47"/>
        <v>1.5</v>
      </c>
      <c r="I254" t="str">
        <f t="shared" ref="I254:I260" si="61">IF(H254&lt;=3,"PASSED","FAILED")</f>
        <v>PASSED</v>
      </c>
      <c r="J254" t="s">
        <v>276</v>
      </c>
      <c r="K254" t="s">
        <v>271</v>
      </c>
    </row>
    <row r="255" spans="1:11" x14ac:dyDescent="0.25">
      <c r="A255" s="5" t="s">
        <v>103</v>
      </c>
      <c r="B255" s="7" t="s">
        <v>269</v>
      </c>
      <c r="C255">
        <v>96</v>
      </c>
      <c r="D255">
        <v>89</v>
      </c>
      <c r="E255">
        <v>95</v>
      </c>
      <c r="F255">
        <v>97</v>
      </c>
      <c r="G255" s="9">
        <f t="shared" si="60"/>
        <v>94.25</v>
      </c>
      <c r="H255" s="9">
        <f t="shared" si="47"/>
        <v>1.25</v>
      </c>
      <c r="I255" t="str">
        <f t="shared" si="61"/>
        <v>PASSED</v>
      </c>
      <c r="J255" t="s">
        <v>276</v>
      </c>
      <c r="K255" t="s">
        <v>271</v>
      </c>
    </row>
    <row r="256" spans="1:11" x14ac:dyDescent="0.25">
      <c r="A256" s="5" t="s">
        <v>103</v>
      </c>
      <c r="B256" s="7" t="s">
        <v>272</v>
      </c>
      <c r="C256">
        <v>98</v>
      </c>
      <c r="D256">
        <v>80</v>
      </c>
      <c r="E256">
        <v>83</v>
      </c>
      <c r="F256">
        <v>76</v>
      </c>
      <c r="G256" s="9">
        <f t="shared" si="60"/>
        <v>84.25</v>
      </c>
      <c r="H256" s="9">
        <f t="shared" si="47"/>
        <v>2.25</v>
      </c>
      <c r="I256" t="str">
        <f t="shared" si="61"/>
        <v>PASSED</v>
      </c>
      <c r="J256" t="s">
        <v>279</v>
      </c>
      <c r="K256" t="s">
        <v>271</v>
      </c>
    </row>
    <row r="257" spans="1:11" x14ac:dyDescent="0.25">
      <c r="A257" s="5" t="s">
        <v>103</v>
      </c>
      <c r="B257" s="7" t="s">
        <v>280</v>
      </c>
      <c r="C257">
        <v>98</v>
      </c>
      <c r="D257">
        <v>87</v>
      </c>
      <c r="E257">
        <v>77</v>
      </c>
      <c r="F257">
        <v>82</v>
      </c>
      <c r="G257" s="9">
        <f t="shared" si="60"/>
        <v>86</v>
      </c>
      <c r="H257" s="9">
        <f t="shared" si="47"/>
        <v>2</v>
      </c>
      <c r="I257" t="str">
        <f t="shared" si="61"/>
        <v>PASSED</v>
      </c>
      <c r="J257" t="s">
        <v>279</v>
      </c>
      <c r="K257" t="s">
        <v>271</v>
      </c>
    </row>
    <row r="258" spans="1:11" x14ac:dyDescent="0.25">
      <c r="A258" s="5" t="s">
        <v>103</v>
      </c>
      <c r="B258" s="7" t="s">
        <v>282</v>
      </c>
      <c r="C258">
        <v>93</v>
      </c>
      <c r="D258">
        <v>83</v>
      </c>
      <c r="E258">
        <v>81</v>
      </c>
      <c r="F258">
        <v>95</v>
      </c>
      <c r="G258" s="9">
        <f t="shared" si="60"/>
        <v>88</v>
      </c>
      <c r="H258" s="9">
        <f t="shared" si="47"/>
        <v>2</v>
      </c>
      <c r="I258" t="str">
        <f t="shared" si="61"/>
        <v>PASSED</v>
      </c>
      <c r="J258" t="s">
        <v>279</v>
      </c>
      <c r="K258" t="s">
        <v>274</v>
      </c>
    </row>
    <row r="259" spans="1:11" x14ac:dyDescent="0.25">
      <c r="A259" s="5" t="s">
        <v>103</v>
      </c>
      <c r="B259" s="7" t="s">
        <v>278</v>
      </c>
      <c r="C259">
        <v>97</v>
      </c>
      <c r="D259">
        <v>98</v>
      </c>
      <c r="E259">
        <v>75</v>
      </c>
      <c r="F259">
        <v>94</v>
      </c>
      <c r="G259" s="9">
        <f t="shared" si="60"/>
        <v>91</v>
      </c>
      <c r="H259" s="9">
        <f t="shared" ref="H259:H322" si="62">IF(G259&gt;=96,1,IF(G259&gt;=94,1.25,IF(G259&gt;=91,1.5,IF(G259&gt;=89,1.75,IF(G259&gt;=86,2,IF(G259&gt;=83,2.25,IF(G259&gt;=80,2.5,IF(G259&gt;=77,2.75,IF(G259&gt;=75,3,5)))))))))</f>
        <v>1.5</v>
      </c>
      <c r="I259" t="str">
        <f t="shared" si="61"/>
        <v>PASSED</v>
      </c>
      <c r="J259" t="s">
        <v>279</v>
      </c>
      <c r="K259" t="s">
        <v>271</v>
      </c>
    </row>
    <row r="260" spans="1:11" x14ac:dyDescent="0.25">
      <c r="A260" s="5" t="s">
        <v>103</v>
      </c>
      <c r="B260" s="7" t="s">
        <v>277</v>
      </c>
      <c r="C260">
        <v>96</v>
      </c>
      <c r="D260">
        <v>75</v>
      </c>
      <c r="E260">
        <v>81</v>
      </c>
      <c r="F260">
        <v>76</v>
      </c>
      <c r="G260" s="9">
        <f t="shared" si="60"/>
        <v>82</v>
      </c>
      <c r="H260" s="9">
        <f t="shared" si="62"/>
        <v>2.5</v>
      </c>
      <c r="I260" t="str">
        <f t="shared" si="61"/>
        <v>PASSED</v>
      </c>
      <c r="J260" t="s">
        <v>270</v>
      </c>
      <c r="K260" t="s">
        <v>271</v>
      </c>
    </row>
    <row r="261" spans="1:11" x14ac:dyDescent="0.25">
      <c r="A261" s="5" t="s">
        <v>103</v>
      </c>
      <c r="B261" s="7" t="s">
        <v>273</v>
      </c>
      <c r="C261">
        <v>79</v>
      </c>
      <c r="D261">
        <v>76</v>
      </c>
      <c r="E261">
        <v>82</v>
      </c>
      <c r="F261">
        <v>98</v>
      </c>
      <c r="G261" s="9">
        <v>83.75</v>
      </c>
      <c r="H261" s="9">
        <f t="shared" si="62"/>
        <v>2.25</v>
      </c>
      <c r="I261" t="s">
        <v>285</v>
      </c>
      <c r="J261" t="s">
        <v>276</v>
      </c>
      <c r="K261" t="s">
        <v>271</v>
      </c>
    </row>
    <row r="262" spans="1:11" x14ac:dyDescent="0.25">
      <c r="A262" s="5" t="s">
        <v>103</v>
      </c>
      <c r="B262" s="7" t="s">
        <v>275</v>
      </c>
      <c r="C262">
        <v>79</v>
      </c>
      <c r="D262">
        <v>76</v>
      </c>
      <c r="E262">
        <v>82</v>
      </c>
      <c r="F262">
        <v>98</v>
      </c>
      <c r="G262" s="9">
        <v>83.75</v>
      </c>
      <c r="H262" s="9">
        <f t="shared" si="62"/>
        <v>2.25</v>
      </c>
      <c r="I262" t="s">
        <v>285</v>
      </c>
      <c r="J262" t="s">
        <v>276</v>
      </c>
      <c r="K262" t="s">
        <v>271</v>
      </c>
    </row>
    <row r="263" spans="1:11" x14ac:dyDescent="0.25">
      <c r="A263" s="5" t="str">
        <f>IFERROR(Students!B27, "Student Not Found")</f>
        <v>Bea Rivera</v>
      </c>
      <c r="B263" s="7" t="s">
        <v>281</v>
      </c>
      <c r="C263">
        <v>92</v>
      </c>
      <c r="D263">
        <v>75</v>
      </c>
      <c r="E263">
        <v>75</v>
      </c>
      <c r="F263">
        <v>98</v>
      </c>
      <c r="G263" s="9">
        <f t="shared" ref="G263:G269" si="63">AVERAGE(C263:F263)</f>
        <v>85</v>
      </c>
      <c r="H263" s="9">
        <f t="shared" si="62"/>
        <v>2.25</v>
      </c>
      <c r="I263" t="str">
        <f t="shared" ref="I263:I269" si="64">IF(H263&lt;=3,"PASSED","FAILED")</f>
        <v>PASSED</v>
      </c>
      <c r="J263" t="s">
        <v>279</v>
      </c>
      <c r="K263" t="s">
        <v>271</v>
      </c>
    </row>
    <row r="264" spans="1:11" x14ac:dyDescent="0.25">
      <c r="A264" s="5" t="s">
        <v>138</v>
      </c>
      <c r="B264" s="7" t="s">
        <v>269</v>
      </c>
      <c r="C264">
        <v>93</v>
      </c>
      <c r="D264">
        <v>92</v>
      </c>
      <c r="E264">
        <v>94</v>
      </c>
      <c r="F264">
        <v>80</v>
      </c>
      <c r="G264" s="9">
        <f t="shared" si="63"/>
        <v>89.75</v>
      </c>
      <c r="H264" s="9">
        <f t="shared" si="62"/>
        <v>1.75</v>
      </c>
      <c r="I264" t="str">
        <f t="shared" si="64"/>
        <v>PASSED</v>
      </c>
      <c r="J264" t="s">
        <v>276</v>
      </c>
      <c r="K264" t="s">
        <v>271</v>
      </c>
    </row>
    <row r="265" spans="1:11" x14ac:dyDescent="0.25">
      <c r="A265" s="5" t="s">
        <v>138</v>
      </c>
      <c r="B265" s="7" t="s">
        <v>272</v>
      </c>
      <c r="C265">
        <v>98</v>
      </c>
      <c r="D265">
        <v>89</v>
      </c>
      <c r="E265">
        <v>86</v>
      </c>
      <c r="F265">
        <v>96</v>
      </c>
      <c r="G265" s="9">
        <f t="shared" si="63"/>
        <v>92.25</v>
      </c>
      <c r="H265" s="9">
        <f t="shared" si="62"/>
        <v>1.5</v>
      </c>
      <c r="I265" t="str">
        <f t="shared" si="64"/>
        <v>PASSED</v>
      </c>
      <c r="J265" t="s">
        <v>270</v>
      </c>
      <c r="K265" t="s">
        <v>271</v>
      </c>
    </row>
    <row r="266" spans="1:11" x14ac:dyDescent="0.25">
      <c r="A266" s="5" t="s">
        <v>138</v>
      </c>
      <c r="B266" s="7" t="s">
        <v>280</v>
      </c>
      <c r="C266">
        <v>95</v>
      </c>
      <c r="D266">
        <v>86</v>
      </c>
      <c r="E266">
        <v>97</v>
      </c>
      <c r="F266">
        <v>94</v>
      </c>
      <c r="G266" s="9">
        <f t="shared" si="63"/>
        <v>93</v>
      </c>
      <c r="H266" s="9">
        <f t="shared" si="62"/>
        <v>1.5</v>
      </c>
      <c r="I266" t="str">
        <f t="shared" si="64"/>
        <v>PASSED</v>
      </c>
      <c r="J266" t="s">
        <v>270</v>
      </c>
      <c r="K266" t="s">
        <v>271</v>
      </c>
    </row>
    <row r="267" spans="1:11" x14ac:dyDescent="0.25">
      <c r="A267" s="5" t="s">
        <v>138</v>
      </c>
      <c r="B267" s="7" t="s">
        <v>282</v>
      </c>
      <c r="C267">
        <v>82</v>
      </c>
      <c r="D267">
        <v>77</v>
      </c>
      <c r="E267">
        <v>80</v>
      </c>
      <c r="F267">
        <v>80</v>
      </c>
      <c r="G267" s="9">
        <f t="shared" si="63"/>
        <v>79.75</v>
      </c>
      <c r="H267" s="9">
        <f t="shared" si="62"/>
        <v>2.75</v>
      </c>
      <c r="I267" t="str">
        <f t="shared" si="64"/>
        <v>PASSED</v>
      </c>
      <c r="J267" t="s">
        <v>276</v>
      </c>
      <c r="K267" t="s">
        <v>271</v>
      </c>
    </row>
    <row r="268" spans="1:11" x14ac:dyDescent="0.25">
      <c r="A268" s="5" t="s">
        <v>138</v>
      </c>
      <c r="B268" s="7" t="s">
        <v>278</v>
      </c>
      <c r="C268">
        <v>99</v>
      </c>
      <c r="D268">
        <v>81</v>
      </c>
      <c r="E268">
        <v>98</v>
      </c>
      <c r="F268">
        <v>82</v>
      </c>
      <c r="G268" s="9">
        <f t="shared" si="63"/>
        <v>90</v>
      </c>
      <c r="H268" s="9">
        <f t="shared" si="62"/>
        <v>1.75</v>
      </c>
      <c r="I268" t="str">
        <f t="shared" si="64"/>
        <v>PASSED</v>
      </c>
      <c r="J268" t="s">
        <v>270</v>
      </c>
      <c r="K268" t="s">
        <v>274</v>
      </c>
    </row>
    <row r="269" spans="1:11" x14ac:dyDescent="0.25">
      <c r="A269" s="5" t="s">
        <v>138</v>
      </c>
      <c r="B269" s="7" t="s">
        <v>277</v>
      </c>
      <c r="C269">
        <v>76</v>
      </c>
      <c r="D269">
        <v>95</v>
      </c>
      <c r="E269">
        <v>82</v>
      </c>
      <c r="F269">
        <v>94</v>
      </c>
      <c r="G269" s="9">
        <f t="shared" si="63"/>
        <v>86.75</v>
      </c>
      <c r="H269" s="9">
        <f t="shared" si="62"/>
        <v>2</v>
      </c>
      <c r="I269" t="str">
        <f t="shared" si="64"/>
        <v>PASSED</v>
      </c>
      <c r="J269" t="s">
        <v>279</v>
      </c>
      <c r="K269" t="s">
        <v>274</v>
      </c>
    </row>
    <row r="270" spans="1:11" x14ac:dyDescent="0.25">
      <c r="A270" s="5" t="s">
        <v>138</v>
      </c>
      <c r="B270" s="7" t="s">
        <v>273</v>
      </c>
      <c r="C270">
        <v>75</v>
      </c>
      <c r="D270">
        <v>77</v>
      </c>
      <c r="E270">
        <v>88</v>
      </c>
      <c r="F270">
        <v>80</v>
      </c>
      <c r="G270" s="9">
        <v>80</v>
      </c>
      <c r="H270" s="9">
        <f t="shared" si="62"/>
        <v>2.5</v>
      </c>
      <c r="I270" t="s">
        <v>285</v>
      </c>
      <c r="J270" t="s">
        <v>270</v>
      </c>
      <c r="K270" t="s">
        <v>271</v>
      </c>
    </row>
    <row r="271" spans="1:11" x14ac:dyDescent="0.25">
      <c r="A271" s="5" t="s">
        <v>138</v>
      </c>
      <c r="B271" s="7" t="s">
        <v>275</v>
      </c>
      <c r="C271">
        <v>75</v>
      </c>
      <c r="D271">
        <v>77</v>
      </c>
      <c r="E271">
        <v>88</v>
      </c>
      <c r="F271">
        <v>80</v>
      </c>
      <c r="G271" s="9">
        <v>80</v>
      </c>
      <c r="H271" s="9">
        <f t="shared" si="62"/>
        <v>2.5</v>
      </c>
      <c r="I271" t="s">
        <v>285</v>
      </c>
      <c r="J271" t="s">
        <v>270</v>
      </c>
      <c r="K271" t="s">
        <v>271</v>
      </c>
    </row>
    <row r="272" spans="1:11" x14ac:dyDescent="0.25">
      <c r="A272" s="5" t="str">
        <f>IFERROR(Students!B18, "Student Not Found")</f>
        <v>Bea Santos</v>
      </c>
      <c r="B272" s="7" t="s">
        <v>281</v>
      </c>
      <c r="C272">
        <v>85</v>
      </c>
      <c r="D272">
        <v>96</v>
      </c>
      <c r="E272">
        <v>93</v>
      </c>
      <c r="F272">
        <v>81</v>
      </c>
      <c r="G272" s="9">
        <f t="shared" ref="G272:G278" si="65">AVERAGE(C272:F272)</f>
        <v>88.75</v>
      </c>
      <c r="H272" s="9">
        <f t="shared" si="62"/>
        <v>2</v>
      </c>
      <c r="I272" t="str">
        <f t="shared" ref="I272:I278" si="66">IF(H272&lt;=3,"PASSED","FAILED")</f>
        <v>PASSED</v>
      </c>
      <c r="J272" t="s">
        <v>276</v>
      </c>
      <c r="K272" t="s">
        <v>274</v>
      </c>
    </row>
    <row r="273" spans="1:11" x14ac:dyDescent="0.25">
      <c r="A273" s="5" t="s">
        <v>93</v>
      </c>
      <c r="B273" s="7" t="s">
        <v>269</v>
      </c>
      <c r="C273">
        <v>77</v>
      </c>
      <c r="D273">
        <v>96</v>
      </c>
      <c r="E273">
        <v>88</v>
      </c>
      <c r="F273">
        <v>78</v>
      </c>
      <c r="G273" s="9">
        <f t="shared" si="65"/>
        <v>84.75</v>
      </c>
      <c r="H273" s="9">
        <f t="shared" si="62"/>
        <v>2.25</v>
      </c>
      <c r="I273" t="str">
        <f t="shared" si="66"/>
        <v>PASSED</v>
      </c>
      <c r="J273" t="s">
        <v>270</v>
      </c>
      <c r="K273" t="s">
        <v>271</v>
      </c>
    </row>
    <row r="274" spans="1:11" x14ac:dyDescent="0.25">
      <c r="A274" s="5" t="s">
        <v>93</v>
      </c>
      <c r="B274" s="7" t="s">
        <v>272</v>
      </c>
      <c r="C274">
        <v>96</v>
      </c>
      <c r="D274">
        <v>81</v>
      </c>
      <c r="E274">
        <v>95</v>
      </c>
      <c r="F274">
        <v>87</v>
      </c>
      <c r="G274" s="9">
        <f t="shared" si="65"/>
        <v>89.75</v>
      </c>
      <c r="H274" s="9">
        <f t="shared" si="62"/>
        <v>1.75</v>
      </c>
      <c r="I274" t="str">
        <f t="shared" si="66"/>
        <v>PASSED</v>
      </c>
      <c r="J274" t="s">
        <v>270</v>
      </c>
      <c r="K274" t="s">
        <v>271</v>
      </c>
    </row>
    <row r="275" spans="1:11" x14ac:dyDescent="0.25">
      <c r="A275" s="5" t="s">
        <v>93</v>
      </c>
      <c r="B275" s="7" t="s">
        <v>280</v>
      </c>
      <c r="C275">
        <v>81</v>
      </c>
      <c r="D275">
        <v>90</v>
      </c>
      <c r="E275">
        <v>93</v>
      </c>
      <c r="F275">
        <v>75</v>
      </c>
      <c r="G275" s="9">
        <f t="shared" si="65"/>
        <v>84.75</v>
      </c>
      <c r="H275" s="9">
        <f t="shared" si="62"/>
        <v>2.25</v>
      </c>
      <c r="I275" t="str">
        <f t="shared" si="66"/>
        <v>PASSED</v>
      </c>
      <c r="J275" t="s">
        <v>279</v>
      </c>
      <c r="K275" t="s">
        <v>274</v>
      </c>
    </row>
    <row r="276" spans="1:11" x14ac:dyDescent="0.25">
      <c r="A276" s="5" t="s">
        <v>93</v>
      </c>
      <c r="B276" s="7" t="s">
        <v>282</v>
      </c>
      <c r="C276">
        <v>86</v>
      </c>
      <c r="D276">
        <v>77</v>
      </c>
      <c r="E276">
        <v>85</v>
      </c>
      <c r="F276">
        <v>90</v>
      </c>
      <c r="G276" s="9">
        <f t="shared" si="65"/>
        <v>84.5</v>
      </c>
      <c r="H276" s="9">
        <f t="shared" si="62"/>
        <v>2.25</v>
      </c>
      <c r="I276" t="str">
        <f t="shared" si="66"/>
        <v>PASSED</v>
      </c>
      <c r="J276" t="s">
        <v>279</v>
      </c>
      <c r="K276" t="s">
        <v>274</v>
      </c>
    </row>
    <row r="277" spans="1:11" x14ac:dyDescent="0.25">
      <c r="A277" s="5" t="s">
        <v>93</v>
      </c>
      <c r="B277" s="7" t="s">
        <v>278</v>
      </c>
      <c r="C277">
        <v>97</v>
      </c>
      <c r="D277">
        <v>92</v>
      </c>
      <c r="E277">
        <v>99</v>
      </c>
      <c r="F277">
        <v>94</v>
      </c>
      <c r="G277" s="9">
        <f t="shared" si="65"/>
        <v>95.5</v>
      </c>
      <c r="H277" s="9">
        <f t="shared" si="62"/>
        <v>1.25</v>
      </c>
      <c r="I277" t="str">
        <f t="shared" si="66"/>
        <v>PASSED</v>
      </c>
      <c r="J277" t="s">
        <v>270</v>
      </c>
      <c r="K277" t="s">
        <v>271</v>
      </c>
    </row>
    <row r="278" spans="1:11" x14ac:dyDescent="0.25">
      <c r="A278" s="5" t="s">
        <v>93</v>
      </c>
      <c r="B278" s="7" t="s">
        <v>277</v>
      </c>
      <c r="C278">
        <v>90</v>
      </c>
      <c r="D278">
        <v>99</v>
      </c>
      <c r="E278">
        <v>80</v>
      </c>
      <c r="F278">
        <v>94</v>
      </c>
      <c r="G278" s="9">
        <f t="shared" si="65"/>
        <v>90.75</v>
      </c>
      <c r="H278" s="9">
        <f t="shared" si="62"/>
        <v>1.75</v>
      </c>
      <c r="I278" t="str">
        <f t="shared" si="66"/>
        <v>PASSED</v>
      </c>
      <c r="J278" t="s">
        <v>279</v>
      </c>
      <c r="K278" t="s">
        <v>274</v>
      </c>
    </row>
    <row r="279" spans="1:11" x14ac:dyDescent="0.25">
      <c r="A279" s="5" t="s">
        <v>93</v>
      </c>
      <c r="B279" s="7" t="s">
        <v>273</v>
      </c>
      <c r="C279">
        <v>92</v>
      </c>
      <c r="D279">
        <v>82</v>
      </c>
      <c r="E279">
        <v>94</v>
      </c>
      <c r="F279">
        <v>98</v>
      </c>
      <c r="G279" s="9">
        <v>91.5</v>
      </c>
      <c r="H279" s="9">
        <f t="shared" si="62"/>
        <v>1.5</v>
      </c>
      <c r="I279" t="s">
        <v>285</v>
      </c>
      <c r="J279" t="s">
        <v>270</v>
      </c>
      <c r="K279" t="s">
        <v>274</v>
      </c>
    </row>
    <row r="280" spans="1:11" x14ac:dyDescent="0.25">
      <c r="A280" s="5" t="s">
        <v>93</v>
      </c>
      <c r="B280" s="7" t="s">
        <v>275</v>
      </c>
      <c r="C280">
        <v>92</v>
      </c>
      <c r="D280">
        <v>82</v>
      </c>
      <c r="E280">
        <v>94</v>
      </c>
      <c r="F280">
        <v>98</v>
      </c>
      <c r="G280" s="9">
        <v>91.5</v>
      </c>
      <c r="H280" s="9">
        <f t="shared" si="62"/>
        <v>1.5</v>
      </c>
      <c r="I280" t="s">
        <v>285</v>
      </c>
      <c r="J280" t="s">
        <v>270</v>
      </c>
      <c r="K280" t="s">
        <v>274</v>
      </c>
    </row>
    <row r="281" spans="1:11" x14ac:dyDescent="0.25">
      <c r="A281" s="5" t="str">
        <f>IFERROR(Students!B26, "Student Not Found")</f>
        <v>Bea Torres</v>
      </c>
      <c r="B281" s="7" t="s">
        <v>281</v>
      </c>
      <c r="C281">
        <v>79</v>
      </c>
      <c r="D281">
        <v>92</v>
      </c>
      <c r="E281">
        <v>85</v>
      </c>
      <c r="F281">
        <v>93</v>
      </c>
      <c r="G281" s="9">
        <f t="shared" ref="G281:G287" si="67">AVERAGE(C281:F281)</f>
        <v>87.25</v>
      </c>
      <c r="H281" s="9">
        <f t="shared" si="62"/>
        <v>2</v>
      </c>
      <c r="I281" t="str">
        <f t="shared" ref="I281:I287" si="68">IF(H281&lt;=3,"PASSED","FAILED")</f>
        <v>PASSED</v>
      </c>
      <c r="J281" t="s">
        <v>270</v>
      </c>
      <c r="K281" t="s">
        <v>271</v>
      </c>
    </row>
    <row r="282" spans="1:11" x14ac:dyDescent="0.25">
      <c r="A282" s="5" t="s">
        <v>133</v>
      </c>
      <c r="B282" s="7" t="s">
        <v>269</v>
      </c>
      <c r="C282">
        <v>84</v>
      </c>
      <c r="D282">
        <v>89</v>
      </c>
      <c r="E282">
        <v>86</v>
      </c>
      <c r="F282">
        <v>94</v>
      </c>
      <c r="G282" s="9">
        <f t="shared" si="67"/>
        <v>88.25</v>
      </c>
      <c r="H282" s="9">
        <f t="shared" si="62"/>
        <v>2</v>
      </c>
      <c r="I282" t="str">
        <f t="shared" si="68"/>
        <v>PASSED</v>
      </c>
      <c r="J282" t="s">
        <v>276</v>
      </c>
      <c r="K282" t="s">
        <v>274</v>
      </c>
    </row>
    <row r="283" spans="1:11" x14ac:dyDescent="0.25">
      <c r="A283" s="5" t="s">
        <v>133</v>
      </c>
      <c r="B283" s="7" t="s">
        <v>272</v>
      </c>
      <c r="C283">
        <v>81</v>
      </c>
      <c r="D283">
        <v>91</v>
      </c>
      <c r="E283">
        <v>91</v>
      </c>
      <c r="F283">
        <v>76</v>
      </c>
      <c r="G283" s="9">
        <f t="shared" si="67"/>
        <v>84.75</v>
      </c>
      <c r="H283" s="9">
        <f t="shared" si="62"/>
        <v>2.25</v>
      </c>
      <c r="I283" t="str">
        <f t="shared" si="68"/>
        <v>PASSED</v>
      </c>
      <c r="J283" t="s">
        <v>276</v>
      </c>
      <c r="K283" t="s">
        <v>271</v>
      </c>
    </row>
    <row r="284" spans="1:11" x14ac:dyDescent="0.25">
      <c r="A284" s="5" t="s">
        <v>133</v>
      </c>
      <c r="B284" s="7" t="s">
        <v>280</v>
      </c>
      <c r="C284">
        <v>89</v>
      </c>
      <c r="D284">
        <v>89</v>
      </c>
      <c r="E284">
        <v>89</v>
      </c>
      <c r="F284">
        <v>98</v>
      </c>
      <c r="G284" s="9">
        <f t="shared" si="67"/>
        <v>91.25</v>
      </c>
      <c r="H284" s="9">
        <f t="shared" si="62"/>
        <v>1.5</v>
      </c>
      <c r="I284" t="str">
        <f t="shared" si="68"/>
        <v>PASSED</v>
      </c>
      <c r="J284" t="s">
        <v>270</v>
      </c>
      <c r="K284" t="s">
        <v>271</v>
      </c>
    </row>
    <row r="285" spans="1:11" x14ac:dyDescent="0.25">
      <c r="A285" s="5" t="s">
        <v>133</v>
      </c>
      <c r="B285" s="7" t="s">
        <v>282</v>
      </c>
      <c r="C285">
        <v>98</v>
      </c>
      <c r="D285">
        <v>83</v>
      </c>
      <c r="E285">
        <v>77</v>
      </c>
      <c r="F285">
        <v>86</v>
      </c>
      <c r="G285" s="9">
        <f t="shared" si="67"/>
        <v>86</v>
      </c>
      <c r="H285" s="9">
        <f t="shared" si="62"/>
        <v>2</v>
      </c>
      <c r="I285" t="str">
        <f t="shared" si="68"/>
        <v>PASSED</v>
      </c>
      <c r="J285" t="s">
        <v>270</v>
      </c>
      <c r="K285" t="s">
        <v>274</v>
      </c>
    </row>
    <row r="286" spans="1:11" x14ac:dyDescent="0.25">
      <c r="A286" s="5" t="s">
        <v>133</v>
      </c>
      <c r="B286" s="7" t="s">
        <v>278</v>
      </c>
      <c r="C286">
        <v>97</v>
      </c>
      <c r="D286">
        <v>78</v>
      </c>
      <c r="E286">
        <v>82</v>
      </c>
      <c r="F286">
        <v>91</v>
      </c>
      <c r="G286" s="9">
        <f t="shared" si="67"/>
        <v>87</v>
      </c>
      <c r="H286" s="9">
        <f t="shared" si="62"/>
        <v>2</v>
      </c>
      <c r="I286" t="str">
        <f t="shared" si="68"/>
        <v>PASSED</v>
      </c>
      <c r="J286" t="s">
        <v>270</v>
      </c>
      <c r="K286" t="s">
        <v>271</v>
      </c>
    </row>
    <row r="287" spans="1:11" x14ac:dyDescent="0.25">
      <c r="A287" s="5" t="s">
        <v>133</v>
      </c>
      <c r="B287" s="7" t="s">
        <v>277</v>
      </c>
      <c r="C287">
        <v>77</v>
      </c>
      <c r="D287">
        <v>95</v>
      </c>
      <c r="E287">
        <v>85</v>
      </c>
      <c r="F287">
        <v>94</v>
      </c>
      <c r="G287" s="9">
        <f t="shared" si="67"/>
        <v>87.75</v>
      </c>
      <c r="H287" s="9">
        <f t="shared" si="62"/>
        <v>2</v>
      </c>
      <c r="I287" t="str">
        <f t="shared" si="68"/>
        <v>PASSED</v>
      </c>
      <c r="J287" t="s">
        <v>279</v>
      </c>
      <c r="K287" t="s">
        <v>271</v>
      </c>
    </row>
    <row r="288" spans="1:11" x14ac:dyDescent="0.25">
      <c r="A288" s="5" t="s">
        <v>133</v>
      </c>
      <c r="B288" s="7" t="s">
        <v>273</v>
      </c>
      <c r="C288">
        <v>80</v>
      </c>
      <c r="D288">
        <v>85</v>
      </c>
      <c r="E288">
        <v>83</v>
      </c>
      <c r="F288">
        <v>78</v>
      </c>
      <c r="G288" s="9">
        <v>81.5</v>
      </c>
      <c r="H288" s="9">
        <f t="shared" si="62"/>
        <v>2.5</v>
      </c>
      <c r="I288" t="s">
        <v>285</v>
      </c>
      <c r="J288" t="s">
        <v>270</v>
      </c>
      <c r="K288" t="s">
        <v>274</v>
      </c>
    </row>
    <row r="289" spans="1:11" x14ac:dyDescent="0.25">
      <c r="A289" s="5" t="s">
        <v>133</v>
      </c>
      <c r="B289" s="7" t="s">
        <v>275</v>
      </c>
      <c r="C289">
        <v>80</v>
      </c>
      <c r="D289">
        <v>85</v>
      </c>
      <c r="E289">
        <v>83</v>
      </c>
      <c r="F289">
        <v>78</v>
      </c>
      <c r="G289" s="9">
        <v>81.5</v>
      </c>
      <c r="H289" s="9">
        <f t="shared" si="62"/>
        <v>2.5</v>
      </c>
      <c r="I289" t="s">
        <v>285</v>
      </c>
      <c r="J289" t="s">
        <v>270</v>
      </c>
      <c r="K289" t="s">
        <v>274</v>
      </c>
    </row>
    <row r="290" spans="1:11" x14ac:dyDescent="0.25">
      <c r="A290" s="5" t="str">
        <f>IFERROR(Students!B45, "Student Not Found")</f>
        <v>Carlo Aquino</v>
      </c>
      <c r="B290" s="7" t="s">
        <v>281</v>
      </c>
      <c r="C290">
        <v>83</v>
      </c>
      <c r="D290">
        <v>77</v>
      </c>
      <c r="E290">
        <v>91</v>
      </c>
      <c r="F290">
        <v>86</v>
      </c>
      <c r="G290" s="9">
        <f t="shared" ref="G290:G295" si="69">AVERAGE(C290:F290)</f>
        <v>84.25</v>
      </c>
      <c r="H290" s="9">
        <f t="shared" si="62"/>
        <v>2.25</v>
      </c>
      <c r="I290" t="str">
        <f t="shared" ref="I290:I295" si="70">IF(H290&lt;=3,"PASSED","FAILED")</f>
        <v>PASSED</v>
      </c>
      <c r="J290" t="s">
        <v>270</v>
      </c>
      <c r="K290" t="s">
        <v>274</v>
      </c>
    </row>
    <row r="291" spans="1:11" x14ac:dyDescent="0.25">
      <c r="A291" s="5" t="s">
        <v>228</v>
      </c>
      <c r="B291" s="7" t="s">
        <v>269</v>
      </c>
      <c r="C291">
        <v>82</v>
      </c>
      <c r="D291">
        <v>98</v>
      </c>
      <c r="E291">
        <v>93</v>
      </c>
      <c r="F291">
        <v>76</v>
      </c>
      <c r="G291" s="9">
        <f t="shared" si="69"/>
        <v>87.25</v>
      </c>
      <c r="H291" s="9">
        <f t="shared" si="62"/>
        <v>2</v>
      </c>
      <c r="I291" t="str">
        <f t="shared" si="70"/>
        <v>PASSED</v>
      </c>
      <c r="J291" t="s">
        <v>270</v>
      </c>
      <c r="K291" t="s">
        <v>271</v>
      </c>
    </row>
    <row r="292" spans="1:11" x14ac:dyDescent="0.25">
      <c r="A292" s="5" t="s">
        <v>228</v>
      </c>
      <c r="B292" s="7" t="s">
        <v>272</v>
      </c>
      <c r="C292">
        <v>95</v>
      </c>
      <c r="D292">
        <v>87</v>
      </c>
      <c r="E292">
        <v>81</v>
      </c>
      <c r="F292">
        <v>91</v>
      </c>
      <c r="G292" s="9">
        <f t="shared" si="69"/>
        <v>88.5</v>
      </c>
      <c r="H292" s="9">
        <f t="shared" si="62"/>
        <v>2</v>
      </c>
      <c r="I292" t="str">
        <f t="shared" si="70"/>
        <v>PASSED</v>
      </c>
      <c r="J292" t="s">
        <v>270</v>
      </c>
      <c r="K292" t="s">
        <v>274</v>
      </c>
    </row>
    <row r="293" spans="1:11" x14ac:dyDescent="0.25">
      <c r="A293" s="5" t="s">
        <v>228</v>
      </c>
      <c r="B293" s="7" t="s">
        <v>280</v>
      </c>
      <c r="C293">
        <v>98</v>
      </c>
      <c r="D293">
        <v>83</v>
      </c>
      <c r="E293">
        <v>93</v>
      </c>
      <c r="F293">
        <v>96</v>
      </c>
      <c r="G293" s="9">
        <f t="shared" si="69"/>
        <v>92.5</v>
      </c>
      <c r="H293" s="9">
        <f t="shared" si="62"/>
        <v>1.5</v>
      </c>
      <c r="I293" t="str">
        <f t="shared" si="70"/>
        <v>PASSED</v>
      </c>
      <c r="J293" t="s">
        <v>270</v>
      </c>
      <c r="K293" t="s">
        <v>271</v>
      </c>
    </row>
    <row r="294" spans="1:11" x14ac:dyDescent="0.25">
      <c r="A294" s="5" t="s">
        <v>228</v>
      </c>
      <c r="B294" s="7" t="s">
        <v>282</v>
      </c>
      <c r="C294">
        <v>94</v>
      </c>
      <c r="D294">
        <v>79</v>
      </c>
      <c r="E294">
        <v>99</v>
      </c>
      <c r="F294">
        <v>95</v>
      </c>
      <c r="G294" s="9">
        <f t="shared" si="69"/>
        <v>91.75</v>
      </c>
      <c r="H294" s="9">
        <f t="shared" si="62"/>
        <v>1.5</v>
      </c>
      <c r="I294" t="str">
        <f t="shared" si="70"/>
        <v>PASSED</v>
      </c>
      <c r="J294" t="s">
        <v>270</v>
      </c>
      <c r="K294" t="s">
        <v>274</v>
      </c>
    </row>
    <row r="295" spans="1:11" x14ac:dyDescent="0.25">
      <c r="A295" s="5" t="s">
        <v>228</v>
      </c>
      <c r="B295" s="7" t="s">
        <v>278</v>
      </c>
      <c r="C295">
        <v>95</v>
      </c>
      <c r="D295">
        <v>88</v>
      </c>
      <c r="E295">
        <v>86</v>
      </c>
      <c r="F295">
        <v>88</v>
      </c>
      <c r="G295" s="9">
        <f t="shared" si="69"/>
        <v>89.25</v>
      </c>
      <c r="H295" s="9">
        <f t="shared" si="62"/>
        <v>1.75</v>
      </c>
      <c r="I295" t="str">
        <f t="shared" si="70"/>
        <v>PASSED</v>
      </c>
      <c r="J295" t="s">
        <v>276</v>
      </c>
      <c r="K295" t="s">
        <v>271</v>
      </c>
    </row>
    <row r="296" spans="1:11" x14ac:dyDescent="0.25">
      <c r="A296" s="5" t="s">
        <v>228</v>
      </c>
      <c r="B296" s="7" t="s">
        <v>277</v>
      </c>
      <c r="C296">
        <v>75</v>
      </c>
      <c r="D296">
        <v>91</v>
      </c>
      <c r="E296">
        <v>80</v>
      </c>
      <c r="F296">
        <v>87</v>
      </c>
      <c r="G296" s="9">
        <v>83.25</v>
      </c>
      <c r="H296" s="9">
        <f t="shared" si="62"/>
        <v>2.25</v>
      </c>
      <c r="I296" t="s">
        <v>285</v>
      </c>
      <c r="J296" t="s">
        <v>276</v>
      </c>
      <c r="K296" t="s">
        <v>274</v>
      </c>
    </row>
    <row r="297" spans="1:11" x14ac:dyDescent="0.25">
      <c r="A297" s="5" t="s">
        <v>228</v>
      </c>
      <c r="B297" s="7" t="s">
        <v>273</v>
      </c>
      <c r="C297">
        <v>75</v>
      </c>
      <c r="D297">
        <v>91</v>
      </c>
      <c r="E297">
        <v>80</v>
      </c>
      <c r="F297">
        <v>87</v>
      </c>
      <c r="G297" s="9">
        <v>83.25</v>
      </c>
      <c r="H297" s="9">
        <f t="shared" si="62"/>
        <v>2.25</v>
      </c>
      <c r="I297" t="s">
        <v>285</v>
      </c>
      <c r="J297" t="s">
        <v>276</v>
      </c>
      <c r="K297" t="s">
        <v>274</v>
      </c>
    </row>
    <row r="298" spans="1:11" x14ac:dyDescent="0.25">
      <c r="A298" s="5" t="s">
        <v>228</v>
      </c>
      <c r="B298" s="7" t="s">
        <v>275</v>
      </c>
      <c r="C298">
        <v>96</v>
      </c>
      <c r="D298">
        <v>95</v>
      </c>
      <c r="E298">
        <v>80</v>
      </c>
      <c r="F298">
        <v>98</v>
      </c>
      <c r="G298" s="9">
        <v>92.25</v>
      </c>
      <c r="H298" s="9">
        <f t="shared" si="62"/>
        <v>1.5</v>
      </c>
      <c r="I298" t="s">
        <v>285</v>
      </c>
      <c r="J298" t="s">
        <v>270</v>
      </c>
      <c r="K298" t="s">
        <v>271</v>
      </c>
    </row>
    <row r="299" spans="1:11" x14ac:dyDescent="0.25">
      <c r="A299" s="5" t="str">
        <f>IFERROR(Students!B47, "Student Not Found")</f>
        <v>Carlo Castro</v>
      </c>
      <c r="B299" s="7" t="s">
        <v>281</v>
      </c>
      <c r="C299">
        <v>85</v>
      </c>
      <c r="D299">
        <v>96</v>
      </c>
      <c r="E299">
        <v>83</v>
      </c>
      <c r="F299">
        <v>99</v>
      </c>
      <c r="G299" s="9">
        <f t="shared" ref="G299:G304" si="71">AVERAGE(C299:F299)</f>
        <v>90.75</v>
      </c>
      <c r="H299" s="9">
        <f t="shared" si="62"/>
        <v>1.75</v>
      </c>
      <c r="I299" t="str">
        <f t="shared" ref="I299:I304" si="72">IF(H299&lt;=3,"PASSED","FAILED")</f>
        <v>PASSED</v>
      </c>
      <c r="J299" t="s">
        <v>270</v>
      </c>
      <c r="K299" t="s">
        <v>271</v>
      </c>
    </row>
    <row r="300" spans="1:11" x14ac:dyDescent="0.25">
      <c r="A300" s="5" t="s">
        <v>238</v>
      </c>
      <c r="B300" s="7" t="s">
        <v>269</v>
      </c>
      <c r="C300">
        <v>76</v>
      </c>
      <c r="D300">
        <v>97</v>
      </c>
      <c r="E300">
        <v>82</v>
      </c>
      <c r="F300">
        <v>83</v>
      </c>
      <c r="G300" s="9">
        <f t="shared" si="71"/>
        <v>84.5</v>
      </c>
      <c r="H300" s="9">
        <f t="shared" si="62"/>
        <v>2.25</v>
      </c>
      <c r="I300" t="str">
        <f t="shared" si="72"/>
        <v>PASSED</v>
      </c>
      <c r="J300" t="s">
        <v>276</v>
      </c>
      <c r="K300" t="s">
        <v>274</v>
      </c>
    </row>
    <row r="301" spans="1:11" x14ac:dyDescent="0.25">
      <c r="A301" s="5" t="s">
        <v>238</v>
      </c>
      <c r="B301" s="7" t="s">
        <v>272</v>
      </c>
      <c r="C301">
        <v>92</v>
      </c>
      <c r="D301">
        <v>99</v>
      </c>
      <c r="E301">
        <v>75</v>
      </c>
      <c r="F301">
        <v>97</v>
      </c>
      <c r="G301" s="9">
        <f t="shared" si="71"/>
        <v>90.75</v>
      </c>
      <c r="H301" s="9">
        <f t="shared" si="62"/>
        <v>1.75</v>
      </c>
      <c r="I301" t="str">
        <f t="shared" si="72"/>
        <v>PASSED</v>
      </c>
      <c r="J301" t="s">
        <v>279</v>
      </c>
      <c r="K301" t="s">
        <v>271</v>
      </c>
    </row>
    <row r="302" spans="1:11" x14ac:dyDescent="0.25">
      <c r="A302" s="5" t="s">
        <v>238</v>
      </c>
      <c r="B302" s="7" t="s">
        <v>280</v>
      </c>
      <c r="C302">
        <v>76</v>
      </c>
      <c r="D302">
        <v>90</v>
      </c>
      <c r="E302">
        <v>84</v>
      </c>
      <c r="F302">
        <v>76</v>
      </c>
      <c r="G302" s="9">
        <f t="shared" si="71"/>
        <v>81.5</v>
      </c>
      <c r="H302" s="9">
        <f t="shared" si="62"/>
        <v>2.5</v>
      </c>
      <c r="I302" t="str">
        <f t="shared" si="72"/>
        <v>PASSED</v>
      </c>
      <c r="J302" t="s">
        <v>279</v>
      </c>
      <c r="K302" t="s">
        <v>271</v>
      </c>
    </row>
    <row r="303" spans="1:11" x14ac:dyDescent="0.25">
      <c r="A303" s="5" t="s">
        <v>238</v>
      </c>
      <c r="B303" s="7" t="s">
        <v>282</v>
      </c>
      <c r="C303">
        <v>87</v>
      </c>
      <c r="D303">
        <v>98</v>
      </c>
      <c r="E303">
        <v>75</v>
      </c>
      <c r="F303">
        <v>86</v>
      </c>
      <c r="G303" s="9">
        <f t="shared" si="71"/>
        <v>86.5</v>
      </c>
      <c r="H303" s="9">
        <f t="shared" si="62"/>
        <v>2</v>
      </c>
      <c r="I303" t="str">
        <f t="shared" si="72"/>
        <v>PASSED</v>
      </c>
      <c r="J303" t="s">
        <v>276</v>
      </c>
      <c r="K303" t="s">
        <v>274</v>
      </c>
    </row>
    <row r="304" spans="1:11" x14ac:dyDescent="0.25">
      <c r="A304" s="5" t="s">
        <v>238</v>
      </c>
      <c r="B304" s="7" t="s">
        <v>278</v>
      </c>
      <c r="C304">
        <v>83</v>
      </c>
      <c r="D304">
        <v>88</v>
      </c>
      <c r="E304">
        <v>92</v>
      </c>
      <c r="F304">
        <v>95</v>
      </c>
      <c r="G304" s="9">
        <f t="shared" si="71"/>
        <v>89.5</v>
      </c>
      <c r="H304" s="9">
        <f t="shared" si="62"/>
        <v>1.75</v>
      </c>
      <c r="I304" t="str">
        <f t="shared" si="72"/>
        <v>PASSED</v>
      </c>
      <c r="J304" t="s">
        <v>270</v>
      </c>
      <c r="K304" t="s">
        <v>271</v>
      </c>
    </row>
    <row r="305" spans="1:11" x14ac:dyDescent="0.25">
      <c r="A305" s="5" t="s">
        <v>238</v>
      </c>
      <c r="B305" s="7" t="s">
        <v>277</v>
      </c>
      <c r="C305">
        <v>88</v>
      </c>
      <c r="D305">
        <v>94</v>
      </c>
      <c r="E305">
        <v>93</v>
      </c>
      <c r="F305">
        <v>83</v>
      </c>
      <c r="G305" s="9">
        <v>89.5</v>
      </c>
      <c r="H305" s="9">
        <f t="shared" si="62"/>
        <v>1.75</v>
      </c>
      <c r="I305" t="s">
        <v>285</v>
      </c>
      <c r="J305" t="s">
        <v>279</v>
      </c>
      <c r="K305" t="s">
        <v>274</v>
      </c>
    </row>
    <row r="306" spans="1:11" x14ac:dyDescent="0.25">
      <c r="A306" s="5" t="s">
        <v>238</v>
      </c>
      <c r="B306" s="7" t="s">
        <v>273</v>
      </c>
      <c r="C306">
        <v>88</v>
      </c>
      <c r="D306">
        <v>94</v>
      </c>
      <c r="E306">
        <v>93</v>
      </c>
      <c r="F306">
        <v>83</v>
      </c>
      <c r="G306" s="9">
        <v>89.5</v>
      </c>
      <c r="H306" s="9">
        <f t="shared" si="62"/>
        <v>1.75</v>
      </c>
      <c r="I306" t="s">
        <v>285</v>
      </c>
      <c r="J306" t="s">
        <v>279</v>
      </c>
      <c r="K306" t="s">
        <v>274</v>
      </c>
    </row>
    <row r="307" spans="1:11" x14ac:dyDescent="0.25">
      <c r="A307" s="5" t="s">
        <v>238</v>
      </c>
      <c r="B307" s="7" t="s">
        <v>275</v>
      </c>
      <c r="C307">
        <v>88</v>
      </c>
      <c r="D307">
        <v>99</v>
      </c>
      <c r="E307">
        <v>98</v>
      </c>
      <c r="F307">
        <v>87</v>
      </c>
      <c r="G307" s="9">
        <v>93</v>
      </c>
      <c r="H307" s="9">
        <f t="shared" si="62"/>
        <v>1.5</v>
      </c>
      <c r="I307" t="s">
        <v>285</v>
      </c>
      <c r="J307" t="s">
        <v>270</v>
      </c>
      <c r="K307" t="s">
        <v>274</v>
      </c>
    </row>
    <row r="308" spans="1:11" x14ac:dyDescent="0.25">
      <c r="A308" s="5" t="str">
        <f>IFERROR(Students!B37, "Student Not Found")</f>
        <v>Carlo Cruz</v>
      </c>
      <c r="B308" s="7" t="s">
        <v>281</v>
      </c>
      <c r="C308">
        <v>76</v>
      </c>
      <c r="D308">
        <v>82</v>
      </c>
      <c r="E308">
        <v>84</v>
      </c>
      <c r="F308">
        <v>81</v>
      </c>
      <c r="G308" s="9">
        <f t="shared" ref="G308:G314" si="73">AVERAGE(C308:F308)</f>
        <v>80.75</v>
      </c>
      <c r="H308" s="9">
        <f t="shared" si="62"/>
        <v>2.5</v>
      </c>
      <c r="I308" t="str">
        <f t="shared" ref="I308:I314" si="74">IF(H308&lt;=3,"PASSED","FAILED")</f>
        <v>PASSED</v>
      </c>
      <c r="J308" t="s">
        <v>270</v>
      </c>
      <c r="K308" t="s">
        <v>271</v>
      </c>
    </row>
    <row r="309" spans="1:11" x14ac:dyDescent="0.25">
      <c r="A309" s="5" t="s">
        <v>188</v>
      </c>
      <c r="B309" s="7" t="s">
        <v>269</v>
      </c>
      <c r="C309">
        <v>98</v>
      </c>
      <c r="D309">
        <v>75</v>
      </c>
      <c r="E309">
        <v>90</v>
      </c>
      <c r="F309">
        <v>82</v>
      </c>
      <c r="G309" s="9">
        <f t="shared" si="73"/>
        <v>86.25</v>
      </c>
      <c r="H309" s="9">
        <f t="shared" si="62"/>
        <v>2</v>
      </c>
      <c r="I309" t="str">
        <f t="shared" si="74"/>
        <v>PASSED</v>
      </c>
      <c r="J309" t="s">
        <v>270</v>
      </c>
      <c r="K309" t="s">
        <v>271</v>
      </c>
    </row>
    <row r="310" spans="1:11" x14ac:dyDescent="0.25">
      <c r="A310" s="5" t="s">
        <v>188</v>
      </c>
      <c r="B310" s="7" t="s">
        <v>272</v>
      </c>
      <c r="C310">
        <v>90</v>
      </c>
      <c r="D310">
        <v>90</v>
      </c>
      <c r="E310">
        <v>81</v>
      </c>
      <c r="F310">
        <v>75</v>
      </c>
      <c r="G310" s="9">
        <f t="shared" si="73"/>
        <v>84</v>
      </c>
      <c r="H310" s="9">
        <f t="shared" si="62"/>
        <v>2.25</v>
      </c>
      <c r="I310" t="str">
        <f t="shared" si="74"/>
        <v>PASSED</v>
      </c>
      <c r="J310" t="s">
        <v>279</v>
      </c>
      <c r="K310" t="s">
        <v>271</v>
      </c>
    </row>
    <row r="311" spans="1:11" x14ac:dyDescent="0.25">
      <c r="A311" s="5" t="s">
        <v>188</v>
      </c>
      <c r="B311" s="7" t="s">
        <v>280</v>
      </c>
      <c r="C311">
        <v>92</v>
      </c>
      <c r="D311">
        <v>88</v>
      </c>
      <c r="E311">
        <v>79</v>
      </c>
      <c r="F311">
        <v>85</v>
      </c>
      <c r="G311" s="9">
        <f t="shared" si="73"/>
        <v>86</v>
      </c>
      <c r="H311" s="9">
        <f t="shared" si="62"/>
        <v>2</v>
      </c>
      <c r="I311" t="str">
        <f t="shared" si="74"/>
        <v>PASSED</v>
      </c>
      <c r="J311" t="s">
        <v>276</v>
      </c>
      <c r="K311" t="s">
        <v>274</v>
      </c>
    </row>
    <row r="312" spans="1:11" x14ac:dyDescent="0.25">
      <c r="A312" s="5" t="s">
        <v>188</v>
      </c>
      <c r="B312" s="7" t="s">
        <v>282</v>
      </c>
      <c r="C312">
        <v>92</v>
      </c>
      <c r="D312">
        <v>99</v>
      </c>
      <c r="E312">
        <v>78</v>
      </c>
      <c r="F312">
        <v>96</v>
      </c>
      <c r="G312" s="9">
        <f t="shared" si="73"/>
        <v>91.25</v>
      </c>
      <c r="H312" s="9">
        <f t="shared" si="62"/>
        <v>1.5</v>
      </c>
      <c r="I312" t="str">
        <f t="shared" si="74"/>
        <v>PASSED</v>
      </c>
      <c r="J312" t="s">
        <v>270</v>
      </c>
      <c r="K312" t="s">
        <v>271</v>
      </c>
    </row>
    <row r="313" spans="1:11" x14ac:dyDescent="0.25">
      <c r="A313" s="5" t="s">
        <v>188</v>
      </c>
      <c r="B313" s="7" t="s">
        <v>278</v>
      </c>
      <c r="C313">
        <v>88</v>
      </c>
      <c r="D313">
        <v>93</v>
      </c>
      <c r="E313">
        <v>75</v>
      </c>
      <c r="F313">
        <v>85</v>
      </c>
      <c r="G313" s="9">
        <f t="shared" si="73"/>
        <v>85.25</v>
      </c>
      <c r="H313" s="9">
        <f t="shared" si="62"/>
        <v>2.25</v>
      </c>
      <c r="I313" t="str">
        <f t="shared" si="74"/>
        <v>PASSED</v>
      </c>
      <c r="J313" t="s">
        <v>270</v>
      </c>
      <c r="K313" t="s">
        <v>271</v>
      </c>
    </row>
    <row r="314" spans="1:11" x14ac:dyDescent="0.25">
      <c r="A314" s="5" t="s">
        <v>188</v>
      </c>
      <c r="B314" s="7" t="s">
        <v>277</v>
      </c>
      <c r="C314">
        <v>84</v>
      </c>
      <c r="D314">
        <v>95</v>
      </c>
      <c r="E314">
        <v>84</v>
      </c>
      <c r="F314">
        <v>93</v>
      </c>
      <c r="G314" s="9">
        <f t="shared" si="73"/>
        <v>89</v>
      </c>
      <c r="H314" s="9">
        <f t="shared" si="62"/>
        <v>1.75</v>
      </c>
      <c r="I314" t="str">
        <f t="shared" si="74"/>
        <v>PASSED</v>
      </c>
      <c r="J314" t="s">
        <v>276</v>
      </c>
      <c r="K314" t="s">
        <v>271</v>
      </c>
    </row>
    <row r="315" spans="1:11" x14ac:dyDescent="0.25">
      <c r="A315" s="5" t="s">
        <v>188</v>
      </c>
      <c r="B315" s="7" t="s">
        <v>273</v>
      </c>
      <c r="C315">
        <v>95</v>
      </c>
      <c r="D315">
        <v>98</v>
      </c>
      <c r="E315">
        <v>91</v>
      </c>
      <c r="F315">
        <v>88</v>
      </c>
      <c r="G315" s="9">
        <v>93</v>
      </c>
      <c r="H315" s="9">
        <f t="shared" si="62"/>
        <v>1.5</v>
      </c>
      <c r="I315" t="s">
        <v>285</v>
      </c>
      <c r="J315" t="s">
        <v>279</v>
      </c>
      <c r="K315" t="s">
        <v>274</v>
      </c>
    </row>
    <row r="316" spans="1:11" x14ac:dyDescent="0.25">
      <c r="A316" s="5" t="s">
        <v>188</v>
      </c>
      <c r="B316" s="7" t="s">
        <v>275</v>
      </c>
      <c r="C316">
        <v>95</v>
      </c>
      <c r="D316">
        <v>98</v>
      </c>
      <c r="E316">
        <v>91</v>
      </c>
      <c r="F316">
        <v>88</v>
      </c>
      <c r="G316" s="9">
        <v>93</v>
      </c>
      <c r="H316" s="9">
        <f t="shared" si="62"/>
        <v>1.5</v>
      </c>
      <c r="I316" t="s">
        <v>285</v>
      </c>
      <c r="J316" t="s">
        <v>279</v>
      </c>
      <c r="K316" t="s">
        <v>274</v>
      </c>
    </row>
    <row r="317" spans="1:11" x14ac:dyDescent="0.25">
      <c r="A317" s="5" t="str">
        <f>IFERROR(Students!B48, "Student Not Found")</f>
        <v>Carlo Delos Reyes</v>
      </c>
      <c r="B317" s="7" t="s">
        <v>281</v>
      </c>
      <c r="C317">
        <v>88</v>
      </c>
      <c r="D317">
        <v>99</v>
      </c>
      <c r="E317">
        <v>98</v>
      </c>
      <c r="F317">
        <v>87</v>
      </c>
      <c r="G317" s="9">
        <f t="shared" ref="G317:G322" si="75">AVERAGE(C317:F317)</f>
        <v>93</v>
      </c>
      <c r="H317" s="9">
        <f t="shared" si="62"/>
        <v>1.5</v>
      </c>
      <c r="I317" t="str">
        <f t="shared" ref="I317:I322" si="76">IF(H317&lt;=3,"PASSED","FAILED")</f>
        <v>PASSED</v>
      </c>
      <c r="J317" t="s">
        <v>270</v>
      </c>
      <c r="K317" t="s">
        <v>271</v>
      </c>
    </row>
    <row r="318" spans="1:11" x14ac:dyDescent="0.25">
      <c r="A318" s="5" t="s">
        <v>243</v>
      </c>
      <c r="B318" s="7" t="s">
        <v>269</v>
      </c>
      <c r="C318">
        <v>78</v>
      </c>
      <c r="D318">
        <v>79</v>
      </c>
      <c r="E318">
        <v>92</v>
      </c>
      <c r="F318">
        <v>79</v>
      </c>
      <c r="G318" s="9">
        <f t="shared" si="75"/>
        <v>82</v>
      </c>
      <c r="H318" s="9">
        <f t="shared" si="62"/>
        <v>2.5</v>
      </c>
      <c r="I318" t="str">
        <f t="shared" si="76"/>
        <v>PASSED</v>
      </c>
      <c r="J318" t="s">
        <v>270</v>
      </c>
      <c r="K318" t="s">
        <v>274</v>
      </c>
    </row>
    <row r="319" spans="1:11" x14ac:dyDescent="0.25">
      <c r="A319" s="5" t="s">
        <v>243</v>
      </c>
      <c r="B319" s="7" t="s">
        <v>272</v>
      </c>
      <c r="C319">
        <v>98</v>
      </c>
      <c r="D319">
        <v>97</v>
      </c>
      <c r="E319">
        <v>85</v>
      </c>
      <c r="F319">
        <v>99</v>
      </c>
      <c r="G319" s="9">
        <f t="shared" si="75"/>
        <v>94.75</v>
      </c>
      <c r="H319" s="9">
        <f t="shared" si="62"/>
        <v>1.25</v>
      </c>
      <c r="I319" t="str">
        <f t="shared" si="76"/>
        <v>PASSED</v>
      </c>
      <c r="J319" t="s">
        <v>276</v>
      </c>
      <c r="K319" t="s">
        <v>271</v>
      </c>
    </row>
    <row r="320" spans="1:11" x14ac:dyDescent="0.25">
      <c r="A320" s="5" t="s">
        <v>243</v>
      </c>
      <c r="B320" s="7" t="s">
        <v>280</v>
      </c>
      <c r="C320">
        <v>86</v>
      </c>
      <c r="D320">
        <v>89</v>
      </c>
      <c r="E320">
        <v>76</v>
      </c>
      <c r="F320">
        <v>79</v>
      </c>
      <c r="G320" s="9">
        <f t="shared" si="75"/>
        <v>82.5</v>
      </c>
      <c r="H320" s="9">
        <f t="shared" si="62"/>
        <v>2.5</v>
      </c>
      <c r="I320" t="str">
        <f t="shared" si="76"/>
        <v>PASSED</v>
      </c>
      <c r="J320" t="s">
        <v>270</v>
      </c>
      <c r="K320" t="s">
        <v>274</v>
      </c>
    </row>
    <row r="321" spans="1:11" x14ac:dyDescent="0.25">
      <c r="A321" s="5" t="s">
        <v>243</v>
      </c>
      <c r="B321" s="7" t="s">
        <v>282</v>
      </c>
      <c r="C321">
        <v>86</v>
      </c>
      <c r="D321">
        <v>97</v>
      </c>
      <c r="E321">
        <v>85</v>
      </c>
      <c r="F321">
        <v>91</v>
      </c>
      <c r="G321" s="9">
        <f t="shared" si="75"/>
        <v>89.75</v>
      </c>
      <c r="H321" s="9">
        <f t="shared" si="62"/>
        <v>1.75</v>
      </c>
      <c r="I321" t="str">
        <f t="shared" si="76"/>
        <v>PASSED</v>
      </c>
      <c r="J321" t="s">
        <v>279</v>
      </c>
      <c r="K321" t="s">
        <v>271</v>
      </c>
    </row>
    <row r="322" spans="1:11" x14ac:dyDescent="0.25">
      <c r="A322" s="5" t="s">
        <v>243</v>
      </c>
      <c r="B322" s="7" t="s">
        <v>278</v>
      </c>
      <c r="C322">
        <v>97</v>
      </c>
      <c r="D322">
        <v>77</v>
      </c>
      <c r="E322">
        <v>80</v>
      </c>
      <c r="F322">
        <v>93</v>
      </c>
      <c r="G322" s="9">
        <f t="shared" si="75"/>
        <v>86.75</v>
      </c>
      <c r="H322" s="9">
        <f t="shared" si="62"/>
        <v>2</v>
      </c>
      <c r="I322" t="str">
        <f t="shared" si="76"/>
        <v>PASSED</v>
      </c>
      <c r="J322" t="s">
        <v>276</v>
      </c>
      <c r="K322" t="s">
        <v>274</v>
      </c>
    </row>
    <row r="323" spans="1:11" x14ac:dyDescent="0.25">
      <c r="A323" s="5" t="s">
        <v>243</v>
      </c>
      <c r="B323" s="7" t="s">
        <v>277</v>
      </c>
      <c r="C323">
        <v>75</v>
      </c>
      <c r="D323">
        <v>86</v>
      </c>
      <c r="E323">
        <v>79</v>
      </c>
      <c r="F323">
        <v>77</v>
      </c>
      <c r="G323" s="9">
        <v>79.25</v>
      </c>
      <c r="H323" s="9">
        <f t="shared" ref="H323:H386" si="77">IF(G323&gt;=96,1,IF(G323&gt;=94,1.25,IF(G323&gt;=91,1.5,IF(G323&gt;=89,1.75,IF(G323&gt;=86,2,IF(G323&gt;=83,2.25,IF(G323&gt;=80,2.5,IF(G323&gt;=77,2.75,IF(G323&gt;=75,3,5)))))))))</f>
        <v>2.75</v>
      </c>
      <c r="I323" t="s">
        <v>285</v>
      </c>
      <c r="J323" t="s">
        <v>276</v>
      </c>
      <c r="K323" t="s">
        <v>271</v>
      </c>
    </row>
    <row r="324" spans="1:11" x14ac:dyDescent="0.25">
      <c r="A324" s="5" t="s">
        <v>243</v>
      </c>
      <c r="B324" s="7" t="s">
        <v>273</v>
      </c>
      <c r="C324">
        <v>75</v>
      </c>
      <c r="D324">
        <v>86</v>
      </c>
      <c r="E324">
        <v>79</v>
      </c>
      <c r="F324">
        <v>77</v>
      </c>
      <c r="G324" s="9">
        <v>79.25</v>
      </c>
      <c r="H324" s="9">
        <f t="shared" si="77"/>
        <v>2.75</v>
      </c>
      <c r="I324" t="s">
        <v>285</v>
      </c>
      <c r="J324" t="s">
        <v>276</v>
      </c>
      <c r="K324" t="s">
        <v>271</v>
      </c>
    </row>
    <row r="325" spans="1:11" x14ac:dyDescent="0.25">
      <c r="A325" s="5" t="s">
        <v>243</v>
      </c>
      <c r="B325" s="7" t="s">
        <v>275</v>
      </c>
      <c r="C325">
        <v>95</v>
      </c>
      <c r="D325">
        <v>98</v>
      </c>
      <c r="E325">
        <v>91</v>
      </c>
      <c r="F325">
        <v>88</v>
      </c>
      <c r="G325" s="9">
        <v>93</v>
      </c>
      <c r="H325" s="9">
        <f t="shared" si="77"/>
        <v>1.5</v>
      </c>
      <c r="I325" t="s">
        <v>285</v>
      </c>
      <c r="J325" t="s">
        <v>279</v>
      </c>
      <c r="K325" t="s">
        <v>271</v>
      </c>
    </row>
    <row r="326" spans="1:11" x14ac:dyDescent="0.25">
      <c r="A326" s="5" t="str">
        <f>IFERROR(Students!B39, "Student Not Found")</f>
        <v>Carlo Flores</v>
      </c>
      <c r="B326" s="7" t="s">
        <v>281</v>
      </c>
      <c r="C326">
        <v>75</v>
      </c>
      <c r="D326">
        <v>77</v>
      </c>
      <c r="E326">
        <v>88</v>
      </c>
      <c r="F326">
        <v>80</v>
      </c>
      <c r="G326" s="9">
        <f t="shared" ref="G326:G332" si="78">AVERAGE(C326:F326)</f>
        <v>80</v>
      </c>
      <c r="H326" s="9">
        <f t="shared" si="77"/>
        <v>2.5</v>
      </c>
      <c r="I326" t="str">
        <f t="shared" ref="I326:I332" si="79">IF(H326&lt;=3,"PASSED","FAILED")</f>
        <v>PASSED</v>
      </c>
      <c r="J326" t="s">
        <v>270</v>
      </c>
      <c r="K326" t="s">
        <v>271</v>
      </c>
    </row>
    <row r="327" spans="1:11" x14ac:dyDescent="0.25">
      <c r="A327" s="5" t="s">
        <v>198</v>
      </c>
      <c r="B327" s="7" t="s">
        <v>269</v>
      </c>
      <c r="C327">
        <v>79</v>
      </c>
      <c r="D327">
        <v>89</v>
      </c>
      <c r="E327">
        <v>75</v>
      </c>
      <c r="F327">
        <v>87</v>
      </c>
      <c r="G327" s="9">
        <f t="shared" si="78"/>
        <v>82.5</v>
      </c>
      <c r="H327" s="9">
        <f t="shared" si="77"/>
        <v>2.5</v>
      </c>
      <c r="I327" t="str">
        <f t="shared" si="79"/>
        <v>PASSED</v>
      </c>
      <c r="J327" t="s">
        <v>270</v>
      </c>
      <c r="K327" t="s">
        <v>271</v>
      </c>
    </row>
    <row r="328" spans="1:11" x14ac:dyDescent="0.25">
      <c r="A328" s="5" t="s">
        <v>198</v>
      </c>
      <c r="B328" s="7" t="s">
        <v>272</v>
      </c>
      <c r="C328">
        <v>91</v>
      </c>
      <c r="D328">
        <v>84</v>
      </c>
      <c r="E328">
        <v>87</v>
      </c>
      <c r="F328">
        <v>81</v>
      </c>
      <c r="G328" s="9">
        <f t="shared" si="78"/>
        <v>85.75</v>
      </c>
      <c r="H328" s="9">
        <f t="shared" si="77"/>
        <v>2.25</v>
      </c>
      <c r="I328" t="str">
        <f t="shared" si="79"/>
        <v>PASSED</v>
      </c>
      <c r="J328" t="s">
        <v>279</v>
      </c>
      <c r="K328" t="s">
        <v>274</v>
      </c>
    </row>
    <row r="329" spans="1:11" x14ac:dyDescent="0.25">
      <c r="A329" s="5" t="s">
        <v>198</v>
      </c>
      <c r="B329" s="7" t="s">
        <v>280</v>
      </c>
      <c r="C329">
        <v>91</v>
      </c>
      <c r="D329">
        <v>96</v>
      </c>
      <c r="E329">
        <v>84</v>
      </c>
      <c r="F329">
        <v>84</v>
      </c>
      <c r="G329" s="9">
        <f t="shared" si="78"/>
        <v>88.75</v>
      </c>
      <c r="H329" s="9">
        <f t="shared" si="77"/>
        <v>2</v>
      </c>
      <c r="I329" t="str">
        <f t="shared" si="79"/>
        <v>PASSED</v>
      </c>
      <c r="J329" t="s">
        <v>270</v>
      </c>
      <c r="K329" t="s">
        <v>271</v>
      </c>
    </row>
    <row r="330" spans="1:11" x14ac:dyDescent="0.25">
      <c r="A330" s="5" t="s">
        <v>198</v>
      </c>
      <c r="B330" s="7" t="s">
        <v>282</v>
      </c>
      <c r="C330">
        <v>75</v>
      </c>
      <c r="D330">
        <v>95</v>
      </c>
      <c r="E330">
        <v>95</v>
      </c>
      <c r="F330">
        <v>99</v>
      </c>
      <c r="G330" s="9">
        <f t="shared" si="78"/>
        <v>91</v>
      </c>
      <c r="H330" s="9">
        <f t="shared" si="77"/>
        <v>1.5</v>
      </c>
      <c r="I330" t="str">
        <f t="shared" si="79"/>
        <v>PASSED</v>
      </c>
      <c r="J330" t="s">
        <v>276</v>
      </c>
      <c r="K330" t="s">
        <v>271</v>
      </c>
    </row>
    <row r="331" spans="1:11" x14ac:dyDescent="0.25">
      <c r="A331" s="5" t="s">
        <v>198</v>
      </c>
      <c r="B331" s="7" t="s">
        <v>278</v>
      </c>
      <c r="C331">
        <v>85</v>
      </c>
      <c r="D331">
        <v>85</v>
      </c>
      <c r="E331">
        <v>89</v>
      </c>
      <c r="F331">
        <v>93</v>
      </c>
      <c r="G331" s="9">
        <f t="shared" si="78"/>
        <v>88</v>
      </c>
      <c r="H331" s="9">
        <f t="shared" si="77"/>
        <v>2</v>
      </c>
      <c r="I331" t="str">
        <f t="shared" si="79"/>
        <v>PASSED</v>
      </c>
      <c r="J331" t="s">
        <v>276</v>
      </c>
      <c r="K331" t="s">
        <v>271</v>
      </c>
    </row>
    <row r="332" spans="1:11" x14ac:dyDescent="0.25">
      <c r="A332" s="5" t="s">
        <v>198</v>
      </c>
      <c r="B332" s="7" t="s">
        <v>277</v>
      </c>
      <c r="C332">
        <v>91</v>
      </c>
      <c r="D332">
        <v>78</v>
      </c>
      <c r="E332">
        <v>85</v>
      </c>
      <c r="F332">
        <v>80</v>
      </c>
      <c r="G332" s="9">
        <f t="shared" si="78"/>
        <v>83.5</v>
      </c>
      <c r="H332" s="9">
        <f t="shared" si="77"/>
        <v>2.25</v>
      </c>
      <c r="I332" t="str">
        <f t="shared" si="79"/>
        <v>PASSED</v>
      </c>
      <c r="J332" t="s">
        <v>276</v>
      </c>
      <c r="K332" t="s">
        <v>274</v>
      </c>
    </row>
    <row r="333" spans="1:11" x14ac:dyDescent="0.25">
      <c r="A333" s="5" t="s">
        <v>198</v>
      </c>
      <c r="B333" s="7" t="s">
        <v>273</v>
      </c>
      <c r="C333">
        <v>79</v>
      </c>
      <c r="D333">
        <v>96</v>
      </c>
      <c r="E333">
        <v>92</v>
      </c>
      <c r="F333">
        <v>90</v>
      </c>
      <c r="G333" s="9">
        <v>89.25</v>
      </c>
      <c r="H333" s="9">
        <f t="shared" si="77"/>
        <v>1.75</v>
      </c>
      <c r="I333" t="s">
        <v>285</v>
      </c>
      <c r="J333" t="s">
        <v>270</v>
      </c>
      <c r="K333" t="s">
        <v>271</v>
      </c>
    </row>
    <row r="334" spans="1:11" x14ac:dyDescent="0.25">
      <c r="A334" s="5" t="s">
        <v>198</v>
      </c>
      <c r="B334" s="7" t="s">
        <v>275</v>
      </c>
      <c r="C334">
        <v>79</v>
      </c>
      <c r="D334">
        <v>96</v>
      </c>
      <c r="E334">
        <v>92</v>
      </c>
      <c r="F334">
        <v>90</v>
      </c>
      <c r="G334" s="9">
        <v>89.25</v>
      </c>
      <c r="H334" s="9">
        <f t="shared" si="77"/>
        <v>1.75</v>
      </c>
      <c r="I334" t="s">
        <v>285</v>
      </c>
      <c r="J334" t="s">
        <v>270</v>
      </c>
      <c r="K334" t="s">
        <v>271</v>
      </c>
    </row>
    <row r="335" spans="1:11" x14ac:dyDescent="0.25">
      <c r="A335" s="5" t="str">
        <f>IFERROR(Students!B35, "Student Not Found")</f>
        <v>Carlo Garcia</v>
      </c>
      <c r="B335" s="7" t="s">
        <v>281</v>
      </c>
      <c r="C335">
        <v>82</v>
      </c>
      <c r="D335">
        <v>85</v>
      </c>
      <c r="E335">
        <v>97</v>
      </c>
      <c r="F335">
        <v>81</v>
      </c>
      <c r="G335" s="9">
        <f t="shared" ref="G335:G341" si="80">AVERAGE(C335:F335)</f>
        <v>86.25</v>
      </c>
      <c r="H335" s="9">
        <f t="shared" si="77"/>
        <v>2</v>
      </c>
      <c r="I335" t="str">
        <f t="shared" ref="I335:I341" si="81">IF(H335&lt;=3,"PASSED","FAILED")</f>
        <v>PASSED</v>
      </c>
      <c r="J335" t="s">
        <v>270</v>
      </c>
      <c r="K335" t="s">
        <v>274</v>
      </c>
    </row>
    <row r="336" spans="1:11" x14ac:dyDescent="0.25">
      <c r="A336" s="5" t="s">
        <v>178</v>
      </c>
      <c r="B336" s="7" t="s">
        <v>269</v>
      </c>
      <c r="C336">
        <v>81</v>
      </c>
      <c r="D336">
        <v>88</v>
      </c>
      <c r="E336">
        <v>75</v>
      </c>
      <c r="F336">
        <v>93</v>
      </c>
      <c r="G336" s="9">
        <f t="shared" si="80"/>
        <v>84.25</v>
      </c>
      <c r="H336" s="9">
        <f t="shared" si="77"/>
        <v>2.25</v>
      </c>
      <c r="I336" t="str">
        <f t="shared" si="81"/>
        <v>PASSED</v>
      </c>
      <c r="J336" t="s">
        <v>276</v>
      </c>
      <c r="K336" t="s">
        <v>274</v>
      </c>
    </row>
    <row r="337" spans="1:11" x14ac:dyDescent="0.25">
      <c r="A337" s="5" t="s">
        <v>178</v>
      </c>
      <c r="B337" s="7" t="s">
        <v>272</v>
      </c>
      <c r="C337">
        <v>86</v>
      </c>
      <c r="D337">
        <v>99</v>
      </c>
      <c r="E337">
        <v>79</v>
      </c>
      <c r="F337">
        <v>94</v>
      </c>
      <c r="G337" s="9">
        <f t="shared" si="80"/>
        <v>89.5</v>
      </c>
      <c r="H337" s="9">
        <f t="shared" si="77"/>
        <v>1.75</v>
      </c>
      <c r="I337" t="str">
        <f t="shared" si="81"/>
        <v>PASSED</v>
      </c>
      <c r="J337" t="s">
        <v>279</v>
      </c>
      <c r="K337" t="s">
        <v>271</v>
      </c>
    </row>
    <row r="338" spans="1:11" x14ac:dyDescent="0.25">
      <c r="A338" s="5" t="s">
        <v>178</v>
      </c>
      <c r="B338" s="7" t="s">
        <v>280</v>
      </c>
      <c r="C338">
        <v>92</v>
      </c>
      <c r="D338">
        <v>75</v>
      </c>
      <c r="E338">
        <v>98</v>
      </c>
      <c r="F338">
        <v>80</v>
      </c>
      <c r="G338" s="9">
        <f t="shared" si="80"/>
        <v>86.25</v>
      </c>
      <c r="H338" s="9">
        <f t="shared" si="77"/>
        <v>2</v>
      </c>
      <c r="I338" t="str">
        <f t="shared" si="81"/>
        <v>PASSED</v>
      </c>
      <c r="J338" t="s">
        <v>279</v>
      </c>
      <c r="K338" t="s">
        <v>271</v>
      </c>
    </row>
    <row r="339" spans="1:11" x14ac:dyDescent="0.25">
      <c r="A339" s="5" t="s">
        <v>178</v>
      </c>
      <c r="B339" s="7" t="s">
        <v>282</v>
      </c>
      <c r="C339">
        <v>85</v>
      </c>
      <c r="D339">
        <v>97</v>
      </c>
      <c r="E339">
        <v>92</v>
      </c>
      <c r="F339">
        <v>75</v>
      </c>
      <c r="G339" s="9">
        <f t="shared" si="80"/>
        <v>87.25</v>
      </c>
      <c r="H339" s="9">
        <f t="shared" si="77"/>
        <v>2</v>
      </c>
      <c r="I339" t="str">
        <f t="shared" si="81"/>
        <v>PASSED</v>
      </c>
      <c r="J339" t="s">
        <v>276</v>
      </c>
      <c r="K339" t="s">
        <v>274</v>
      </c>
    </row>
    <row r="340" spans="1:11" x14ac:dyDescent="0.25">
      <c r="A340" s="5" t="s">
        <v>178</v>
      </c>
      <c r="B340" s="7" t="s">
        <v>278</v>
      </c>
      <c r="C340">
        <v>86</v>
      </c>
      <c r="D340">
        <v>99</v>
      </c>
      <c r="E340">
        <v>79</v>
      </c>
      <c r="F340">
        <v>79</v>
      </c>
      <c r="G340" s="9">
        <f t="shared" si="80"/>
        <v>85.75</v>
      </c>
      <c r="H340" s="9">
        <f t="shared" si="77"/>
        <v>2.25</v>
      </c>
      <c r="I340" t="str">
        <f t="shared" si="81"/>
        <v>PASSED</v>
      </c>
      <c r="J340" t="s">
        <v>270</v>
      </c>
      <c r="K340" t="s">
        <v>271</v>
      </c>
    </row>
    <row r="341" spans="1:11" x14ac:dyDescent="0.25">
      <c r="A341" s="5" t="s">
        <v>178</v>
      </c>
      <c r="B341" s="7" t="s">
        <v>277</v>
      </c>
      <c r="C341">
        <v>93</v>
      </c>
      <c r="D341">
        <v>88</v>
      </c>
      <c r="E341">
        <v>78</v>
      </c>
      <c r="F341">
        <v>89</v>
      </c>
      <c r="G341" s="9">
        <f t="shared" si="80"/>
        <v>87</v>
      </c>
      <c r="H341" s="9">
        <f t="shared" si="77"/>
        <v>2</v>
      </c>
      <c r="I341" t="str">
        <f t="shared" si="81"/>
        <v>PASSED</v>
      </c>
      <c r="J341" t="s">
        <v>276</v>
      </c>
      <c r="K341" t="s">
        <v>271</v>
      </c>
    </row>
    <row r="342" spans="1:11" x14ac:dyDescent="0.25">
      <c r="A342" s="5" t="s">
        <v>178</v>
      </c>
      <c r="B342" s="7" t="s">
        <v>273</v>
      </c>
      <c r="C342">
        <v>85</v>
      </c>
      <c r="D342">
        <v>96</v>
      </c>
      <c r="E342">
        <v>83</v>
      </c>
      <c r="F342">
        <v>99</v>
      </c>
      <c r="G342" s="9">
        <v>90.75</v>
      </c>
      <c r="H342" s="9">
        <f t="shared" si="77"/>
        <v>1.75</v>
      </c>
      <c r="I342" t="s">
        <v>285</v>
      </c>
      <c r="J342" t="s">
        <v>270</v>
      </c>
      <c r="K342" t="s">
        <v>271</v>
      </c>
    </row>
    <row r="343" spans="1:11" x14ac:dyDescent="0.25">
      <c r="A343" s="5" t="s">
        <v>178</v>
      </c>
      <c r="B343" s="7" t="s">
        <v>275</v>
      </c>
      <c r="C343">
        <v>85</v>
      </c>
      <c r="D343">
        <v>96</v>
      </c>
      <c r="E343">
        <v>83</v>
      </c>
      <c r="F343">
        <v>99</v>
      </c>
      <c r="G343" s="9">
        <v>90.75</v>
      </c>
      <c r="H343" s="9">
        <f t="shared" si="77"/>
        <v>1.75</v>
      </c>
      <c r="I343" t="s">
        <v>285</v>
      </c>
      <c r="J343" t="s">
        <v>270</v>
      </c>
      <c r="K343" t="s">
        <v>271</v>
      </c>
    </row>
    <row r="344" spans="1:11" x14ac:dyDescent="0.25">
      <c r="A344" s="5" t="str">
        <f>IFERROR(Students!B41, "Student Not Found")</f>
        <v>Carlo Gonzales</v>
      </c>
      <c r="B344" s="7" t="s">
        <v>281</v>
      </c>
      <c r="C344">
        <v>96</v>
      </c>
      <c r="D344">
        <v>83</v>
      </c>
      <c r="E344">
        <v>86</v>
      </c>
      <c r="F344">
        <v>79</v>
      </c>
      <c r="G344" s="9">
        <f t="shared" ref="G344:G349" si="82">AVERAGE(C344:F344)</f>
        <v>86</v>
      </c>
      <c r="H344" s="9">
        <f t="shared" si="77"/>
        <v>2</v>
      </c>
      <c r="I344" t="str">
        <f t="shared" ref="I344:I349" si="83">IF(H344&lt;=3,"PASSED","FAILED")</f>
        <v>PASSED</v>
      </c>
      <c r="J344" t="s">
        <v>270</v>
      </c>
      <c r="K344" t="s">
        <v>271</v>
      </c>
    </row>
    <row r="345" spans="1:11" x14ac:dyDescent="0.25">
      <c r="A345" s="5" t="s">
        <v>208</v>
      </c>
      <c r="B345" s="7" t="s">
        <v>269</v>
      </c>
      <c r="C345">
        <v>80</v>
      </c>
      <c r="D345">
        <v>96</v>
      </c>
      <c r="E345">
        <v>79</v>
      </c>
      <c r="F345">
        <v>87</v>
      </c>
      <c r="G345" s="9">
        <f t="shared" si="82"/>
        <v>85.5</v>
      </c>
      <c r="H345" s="9">
        <f t="shared" si="77"/>
        <v>2.25</v>
      </c>
      <c r="I345" t="str">
        <f t="shared" si="83"/>
        <v>PASSED</v>
      </c>
      <c r="J345" t="s">
        <v>279</v>
      </c>
      <c r="K345" t="s">
        <v>271</v>
      </c>
    </row>
    <row r="346" spans="1:11" x14ac:dyDescent="0.25">
      <c r="A346" s="5" t="s">
        <v>208</v>
      </c>
      <c r="B346" s="7" t="s">
        <v>272</v>
      </c>
      <c r="C346">
        <v>77</v>
      </c>
      <c r="D346">
        <v>91</v>
      </c>
      <c r="E346">
        <v>90</v>
      </c>
      <c r="F346">
        <v>76</v>
      </c>
      <c r="G346" s="9">
        <f t="shared" si="82"/>
        <v>83.5</v>
      </c>
      <c r="H346" s="9">
        <f t="shared" si="77"/>
        <v>2.25</v>
      </c>
      <c r="I346" t="str">
        <f t="shared" si="83"/>
        <v>PASSED</v>
      </c>
      <c r="J346" t="s">
        <v>279</v>
      </c>
      <c r="K346" t="s">
        <v>271</v>
      </c>
    </row>
    <row r="347" spans="1:11" x14ac:dyDescent="0.25">
      <c r="A347" s="5" t="s">
        <v>208</v>
      </c>
      <c r="B347" s="7" t="s">
        <v>280</v>
      </c>
      <c r="C347">
        <v>98</v>
      </c>
      <c r="D347">
        <v>94</v>
      </c>
      <c r="E347">
        <v>92</v>
      </c>
      <c r="F347">
        <v>93</v>
      </c>
      <c r="G347" s="9">
        <f t="shared" si="82"/>
        <v>94.25</v>
      </c>
      <c r="H347" s="9">
        <f t="shared" si="77"/>
        <v>1.25</v>
      </c>
      <c r="I347" t="str">
        <f t="shared" si="83"/>
        <v>PASSED</v>
      </c>
      <c r="J347" t="s">
        <v>276</v>
      </c>
      <c r="K347" t="s">
        <v>271</v>
      </c>
    </row>
    <row r="348" spans="1:11" x14ac:dyDescent="0.25">
      <c r="A348" s="5" t="s">
        <v>208</v>
      </c>
      <c r="B348" s="7" t="s">
        <v>282</v>
      </c>
      <c r="C348">
        <v>80</v>
      </c>
      <c r="D348">
        <v>75</v>
      </c>
      <c r="E348">
        <v>83</v>
      </c>
      <c r="F348">
        <v>76</v>
      </c>
      <c r="G348" s="9">
        <f t="shared" si="82"/>
        <v>78.5</v>
      </c>
      <c r="H348" s="9">
        <f t="shared" si="77"/>
        <v>2.75</v>
      </c>
      <c r="I348" t="str">
        <f t="shared" si="83"/>
        <v>PASSED</v>
      </c>
      <c r="J348" t="s">
        <v>276</v>
      </c>
      <c r="K348" t="s">
        <v>274</v>
      </c>
    </row>
    <row r="349" spans="1:11" x14ac:dyDescent="0.25">
      <c r="A349" s="5" t="s">
        <v>208</v>
      </c>
      <c r="B349" s="7" t="s">
        <v>278</v>
      </c>
      <c r="C349">
        <v>90</v>
      </c>
      <c r="D349">
        <v>89</v>
      </c>
      <c r="E349">
        <v>88</v>
      </c>
      <c r="F349">
        <v>77</v>
      </c>
      <c r="G349" s="9">
        <f t="shared" si="82"/>
        <v>86</v>
      </c>
      <c r="H349" s="9">
        <f t="shared" si="77"/>
        <v>2</v>
      </c>
      <c r="I349" t="str">
        <f t="shared" si="83"/>
        <v>PASSED</v>
      </c>
      <c r="J349" t="s">
        <v>270</v>
      </c>
      <c r="K349" t="s">
        <v>271</v>
      </c>
    </row>
    <row r="350" spans="1:11" x14ac:dyDescent="0.25">
      <c r="A350" s="5" t="s">
        <v>208</v>
      </c>
      <c r="B350" s="7" t="s">
        <v>277</v>
      </c>
      <c r="C350">
        <v>95</v>
      </c>
      <c r="D350">
        <v>99</v>
      </c>
      <c r="E350">
        <v>91</v>
      </c>
      <c r="F350">
        <v>95</v>
      </c>
      <c r="G350" s="9">
        <v>95</v>
      </c>
      <c r="H350" s="9">
        <f t="shared" si="77"/>
        <v>1.25</v>
      </c>
      <c r="I350" t="s">
        <v>285</v>
      </c>
      <c r="J350" t="s">
        <v>270</v>
      </c>
      <c r="K350" t="s">
        <v>271</v>
      </c>
    </row>
    <row r="351" spans="1:11" x14ac:dyDescent="0.25">
      <c r="A351" s="5" t="s">
        <v>208</v>
      </c>
      <c r="B351" s="7" t="s">
        <v>273</v>
      </c>
      <c r="C351">
        <v>95</v>
      </c>
      <c r="D351">
        <v>99</v>
      </c>
      <c r="E351">
        <v>91</v>
      </c>
      <c r="F351">
        <v>95</v>
      </c>
      <c r="G351" s="9">
        <v>95</v>
      </c>
      <c r="H351" s="9">
        <f t="shared" si="77"/>
        <v>1.25</v>
      </c>
      <c r="I351" t="s">
        <v>285</v>
      </c>
      <c r="J351" t="s">
        <v>270</v>
      </c>
      <c r="K351" t="s">
        <v>271</v>
      </c>
    </row>
    <row r="352" spans="1:11" x14ac:dyDescent="0.25">
      <c r="A352" s="5" t="s">
        <v>208</v>
      </c>
      <c r="B352" s="7" t="s">
        <v>275</v>
      </c>
      <c r="C352">
        <v>78</v>
      </c>
      <c r="D352">
        <v>83</v>
      </c>
      <c r="E352">
        <v>83</v>
      </c>
      <c r="F352">
        <v>91</v>
      </c>
      <c r="G352" s="9">
        <v>83.75</v>
      </c>
      <c r="H352" s="9">
        <f t="shared" si="77"/>
        <v>2.25</v>
      </c>
      <c r="I352" t="s">
        <v>285</v>
      </c>
      <c r="J352" t="s">
        <v>279</v>
      </c>
      <c r="K352" t="s">
        <v>271</v>
      </c>
    </row>
    <row r="353" spans="1:11" x14ac:dyDescent="0.25">
      <c r="A353" s="5" t="str">
        <f>IFERROR(Students!B38, "Student Not Found")</f>
        <v>Carlo Lopez</v>
      </c>
      <c r="B353" s="7" t="s">
        <v>281</v>
      </c>
      <c r="C353">
        <v>80</v>
      </c>
      <c r="D353">
        <v>85</v>
      </c>
      <c r="E353">
        <v>83</v>
      </c>
      <c r="F353">
        <v>78</v>
      </c>
      <c r="G353" s="9">
        <f t="shared" ref="G353:G359" si="84">AVERAGE(C353:F353)</f>
        <v>81.5</v>
      </c>
      <c r="H353" s="9">
        <f t="shared" si="77"/>
        <v>2.5</v>
      </c>
      <c r="I353" t="str">
        <f t="shared" ref="I353:I359" si="85">IF(H353&lt;=3,"PASSED","FAILED")</f>
        <v>PASSED</v>
      </c>
      <c r="J353" t="s">
        <v>270</v>
      </c>
      <c r="K353" t="s">
        <v>274</v>
      </c>
    </row>
    <row r="354" spans="1:11" x14ac:dyDescent="0.25">
      <c r="A354" s="5" t="s">
        <v>193</v>
      </c>
      <c r="B354" s="7" t="s">
        <v>269</v>
      </c>
      <c r="C354">
        <v>99</v>
      </c>
      <c r="D354">
        <v>86</v>
      </c>
      <c r="E354">
        <v>97</v>
      </c>
      <c r="F354">
        <v>94</v>
      </c>
      <c r="G354" s="9">
        <f t="shared" si="84"/>
        <v>94</v>
      </c>
      <c r="H354" s="9">
        <f t="shared" si="77"/>
        <v>1.25</v>
      </c>
      <c r="I354" t="str">
        <f t="shared" si="85"/>
        <v>PASSED</v>
      </c>
      <c r="J354" t="s">
        <v>270</v>
      </c>
      <c r="K354" t="s">
        <v>271</v>
      </c>
    </row>
    <row r="355" spans="1:11" x14ac:dyDescent="0.25">
      <c r="A355" s="5" t="s">
        <v>193</v>
      </c>
      <c r="B355" s="7" t="s">
        <v>272</v>
      </c>
      <c r="C355">
        <v>76</v>
      </c>
      <c r="D355">
        <v>88</v>
      </c>
      <c r="E355">
        <v>91</v>
      </c>
      <c r="F355">
        <v>94</v>
      </c>
      <c r="G355" s="9">
        <f t="shared" si="84"/>
        <v>87.25</v>
      </c>
      <c r="H355" s="9">
        <f t="shared" si="77"/>
        <v>2</v>
      </c>
      <c r="I355" t="str">
        <f t="shared" si="85"/>
        <v>PASSED</v>
      </c>
      <c r="J355" t="s">
        <v>279</v>
      </c>
      <c r="K355" t="s">
        <v>271</v>
      </c>
    </row>
    <row r="356" spans="1:11" x14ac:dyDescent="0.25">
      <c r="A356" s="5" t="s">
        <v>193</v>
      </c>
      <c r="B356" s="7" t="s">
        <v>280</v>
      </c>
      <c r="C356">
        <v>79</v>
      </c>
      <c r="D356">
        <v>96</v>
      </c>
      <c r="E356">
        <v>91</v>
      </c>
      <c r="F356">
        <v>93</v>
      </c>
      <c r="G356" s="9">
        <f t="shared" si="84"/>
        <v>89.75</v>
      </c>
      <c r="H356" s="9">
        <f t="shared" si="77"/>
        <v>1.75</v>
      </c>
      <c r="I356" t="str">
        <f t="shared" si="85"/>
        <v>PASSED</v>
      </c>
      <c r="J356" t="s">
        <v>270</v>
      </c>
      <c r="K356" t="s">
        <v>271</v>
      </c>
    </row>
    <row r="357" spans="1:11" x14ac:dyDescent="0.25">
      <c r="A357" s="5" t="s">
        <v>193</v>
      </c>
      <c r="B357" s="7" t="s">
        <v>282</v>
      </c>
      <c r="C357">
        <v>97</v>
      </c>
      <c r="D357">
        <v>98</v>
      </c>
      <c r="E357">
        <v>99</v>
      </c>
      <c r="F357">
        <v>82</v>
      </c>
      <c r="G357" s="9">
        <f t="shared" si="84"/>
        <v>94</v>
      </c>
      <c r="H357" s="9">
        <f t="shared" si="77"/>
        <v>1.25</v>
      </c>
      <c r="I357" t="str">
        <f t="shared" si="85"/>
        <v>PASSED</v>
      </c>
      <c r="J357" t="s">
        <v>276</v>
      </c>
      <c r="K357" t="s">
        <v>271</v>
      </c>
    </row>
    <row r="358" spans="1:11" x14ac:dyDescent="0.25">
      <c r="A358" s="5" t="s">
        <v>193</v>
      </c>
      <c r="B358" s="7" t="s">
        <v>278</v>
      </c>
      <c r="C358">
        <v>93</v>
      </c>
      <c r="D358">
        <v>92</v>
      </c>
      <c r="E358">
        <v>78</v>
      </c>
      <c r="F358">
        <v>76</v>
      </c>
      <c r="G358" s="9">
        <f t="shared" si="84"/>
        <v>84.75</v>
      </c>
      <c r="H358" s="9">
        <f t="shared" si="77"/>
        <v>2.25</v>
      </c>
      <c r="I358" t="str">
        <f t="shared" si="85"/>
        <v>PASSED</v>
      </c>
      <c r="J358" t="s">
        <v>276</v>
      </c>
      <c r="K358" t="s">
        <v>271</v>
      </c>
    </row>
    <row r="359" spans="1:11" x14ac:dyDescent="0.25">
      <c r="A359" s="5" t="s">
        <v>193</v>
      </c>
      <c r="B359" s="7" t="s">
        <v>277</v>
      </c>
      <c r="C359">
        <v>79</v>
      </c>
      <c r="D359">
        <v>75</v>
      </c>
      <c r="E359">
        <v>86</v>
      </c>
      <c r="F359">
        <v>75</v>
      </c>
      <c r="G359" s="9">
        <f t="shared" si="84"/>
        <v>78.75</v>
      </c>
      <c r="H359" s="9">
        <f t="shared" si="77"/>
        <v>2.75</v>
      </c>
      <c r="I359" t="str">
        <f t="shared" si="85"/>
        <v>PASSED</v>
      </c>
      <c r="J359" t="s">
        <v>279</v>
      </c>
      <c r="K359" t="s">
        <v>274</v>
      </c>
    </row>
    <row r="360" spans="1:11" x14ac:dyDescent="0.25">
      <c r="A360" s="5" t="s">
        <v>193</v>
      </c>
      <c r="B360" s="7" t="s">
        <v>273</v>
      </c>
      <c r="C360">
        <v>96</v>
      </c>
      <c r="D360">
        <v>98</v>
      </c>
      <c r="E360">
        <v>84</v>
      </c>
      <c r="F360">
        <v>80</v>
      </c>
      <c r="G360" s="9">
        <v>89.5</v>
      </c>
      <c r="H360" s="9">
        <f t="shared" si="77"/>
        <v>1.75</v>
      </c>
      <c r="I360" t="s">
        <v>285</v>
      </c>
      <c r="J360" t="s">
        <v>270</v>
      </c>
      <c r="K360" t="s">
        <v>274</v>
      </c>
    </row>
    <row r="361" spans="1:11" x14ac:dyDescent="0.25">
      <c r="A361" s="5" t="s">
        <v>193</v>
      </c>
      <c r="B361" s="7" t="s">
        <v>275</v>
      </c>
      <c r="C361">
        <v>96</v>
      </c>
      <c r="D361">
        <v>98</v>
      </c>
      <c r="E361">
        <v>84</v>
      </c>
      <c r="F361">
        <v>80</v>
      </c>
      <c r="G361" s="9">
        <v>89.5</v>
      </c>
      <c r="H361" s="9">
        <f t="shared" si="77"/>
        <v>1.75</v>
      </c>
      <c r="I361" t="s">
        <v>285</v>
      </c>
      <c r="J361" t="s">
        <v>270</v>
      </c>
      <c r="K361" t="s">
        <v>274</v>
      </c>
    </row>
    <row r="362" spans="1:11" x14ac:dyDescent="0.25">
      <c r="A362" s="5" t="str">
        <f>IFERROR(Students!B44, "Student Not Found")</f>
        <v>Carlo Mendoza</v>
      </c>
      <c r="B362" s="7" t="s">
        <v>281</v>
      </c>
      <c r="C362">
        <v>94</v>
      </c>
      <c r="D362">
        <v>96</v>
      </c>
      <c r="E362">
        <v>93</v>
      </c>
      <c r="F362">
        <v>96</v>
      </c>
      <c r="G362" s="9">
        <f t="shared" ref="G362:G367" si="86">AVERAGE(C362:F362)</f>
        <v>94.75</v>
      </c>
      <c r="H362" s="9">
        <f t="shared" si="77"/>
        <v>1.25</v>
      </c>
      <c r="I362" t="str">
        <f t="shared" ref="I362:I367" si="87">IF(H362&lt;=3,"PASSED","FAILED")</f>
        <v>PASSED</v>
      </c>
      <c r="J362" t="s">
        <v>276</v>
      </c>
      <c r="K362" t="s">
        <v>271</v>
      </c>
    </row>
    <row r="363" spans="1:11" x14ac:dyDescent="0.25">
      <c r="A363" s="5" t="s">
        <v>223</v>
      </c>
      <c r="B363" s="7" t="s">
        <v>269</v>
      </c>
      <c r="C363">
        <v>82</v>
      </c>
      <c r="D363">
        <v>75</v>
      </c>
      <c r="E363">
        <v>78</v>
      </c>
      <c r="F363">
        <v>77</v>
      </c>
      <c r="G363" s="9">
        <f t="shared" si="86"/>
        <v>78</v>
      </c>
      <c r="H363" s="9">
        <f t="shared" si="77"/>
        <v>2.75</v>
      </c>
      <c r="I363" t="str">
        <f t="shared" si="87"/>
        <v>PASSED</v>
      </c>
      <c r="J363" t="s">
        <v>276</v>
      </c>
      <c r="K363" t="s">
        <v>274</v>
      </c>
    </row>
    <row r="364" spans="1:11" x14ac:dyDescent="0.25">
      <c r="A364" s="5" t="s">
        <v>223</v>
      </c>
      <c r="B364" s="7" t="s">
        <v>272</v>
      </c>
      <c r="C364">
        <v>97</v>
      </c>
      <c r="D364">
        <v>88</v>
      </c>
      <c r="E364">
        <v>88</v>
      </c>
      <c r="F364">
        <v>79</v>
      </c>
      <c r="G364" s="9">
        <f t="shared" si="86"/>
        <v>88</v>
      </c>
      <c r="H364" s="9">
        <f t="shared" si="77"/>
        <v>2</v>
      </c>
      <c r="I364" t="str">
        <f t="shared" si="87"/>
        <v>PASSED</v>
      </c>
      <c r="J364" t="s">
        <v>276</v>
      </c>
      <c r="K364" t="s">
        <v>271</v>
      </c>
    </row>
    <row r="365" spans="1:11" x14ac:dyDescent="0.25">
      <c r="A365" s="5" t="s">
        <v>223</v>
      </c>
      <c r="B365" s="7" t="s">
        <v>280</v>
      </c>
      <c r="C365">
        <v>100</v>
      </c>
      <c r="D365">
        <v>70</v>
      </c>
      <c r="E365">
        <v>50</v>
      </c>
      <c r="F365">
        <v>100</v>
      </c>
      <c r="G365" s="9">
        <f t="shared" si="86"/>
        <v>80</v>
      </c>
      <c r="H365" s="9">
        <f t="shared" si="77"/>
        <v>2.5</v>
      </c>
      <c r="I365" t="str">
        <f t="shared" si="87"/>
        <v>PASSED</v>
      </c>
      <c r="J365" t="s">
        <v>276</v>
      </c>
      <c r="K365" t="s">
        <v>274</v>
      </c>
    </row>
    <row r="366" spans="1:11" x14ac:dyDescent="0.25">
      <c r="A366" s="5" t="s">
        <v>223</v>
      </c>
      <c r="B366" s="7" t="s">
        <v>282</v>
      </c>
      <c r="C366">
        <v>93</v>
      </c>
      <c r="D366">
        <v>95</v>
      </c>
      <c r="E366">
        <v>86</v>
      </c>
      <c r="F366">
        <v>87</v>
      </c>
      <c r="G366" s="9">
        <f t="shared" si="86"/>
        <v>90.25</v>
      </c>
      <c r="H366" s="9">
        <f t="shared" si="77"/>
        <v>1.75</v>
      </c>
      <c r="I366" t="str">
        <f t="shared" si="87"/>
        <v>PASSED</v>
      </c>
      <c r="J366" t="s">
        <v>279</v>
      </c>
      <c r="K366" t="s">
        <v>271</v>
      </c>
    </row>
    <row r="367" spans="1:11" x14ac:dyDescent="0.25">
      <c r="A367" s="5" t="s">
        <v>223</v>
      </c>
      <c r="B367" s="7" t="s">
        <v>278</v>
      </c>
      <c r="C367">
        <v>93</v>
      </c>
      <c r="D367">
        <v>91</v>
      </c>
      <c r="E367">
        <v>83</v>
      </c>
      <c r="F367">
        <v>87</v>
      </c>
      <c r="G367" s="9">
        <f t="shared" si="86"/>
        <v>88.5</v>
      </c>
      <c r="H367" s="9">
        <f t="shared" si="77"/>
        <v>2</v>
      </c>
      <c r="I367" t="str">
        <f t="shared" si="87"/>
        <v>PASSED</v>
      </c>
      <c r="J367" t="s">
        <v>270</v>
      </c>
      <c r="K367" t="s">
        <v>274</v>
      </c>
    </row>
    <row r="368" spans="1:11" x14ac:dyDescent="0.25">
      <c r="A368" s="5" t="s">
        <v>223</v>
      </c>
      <c r="B368" s="7" t="s">
        <v>277</v>
      </c>
      <c r="C368">
        <v>86</v>
      </c>
      <c r="D368">
        <v>84</v>
      </c>
      <c r="E368">
        <v>84</v>
      </c>
      <c r="F368">
        <v>90</v>
      </c>
      <c r="G368" s="9">
        <v>86</v>
      </c>
      <c r="H368" s="9">
        <f t="shared" si="77"/>
        <v>2</v>
      </c>
      <c r="I368" t="s">
        <v>285</v>
      </c>
      <c r="J368" t="s">
        <v>276</v>
      </c>
      <c r="K368" t="s">
        <v>274</v>
      </c>
    </row>
    <row r="369" spans="1:11" x14ac:dyDescent="0.25">
      <c r="A369" s="5" t="s">
        <v>223</v>
      </c>
      <c r="B369" s="7" t="s">
        <v>273</v>
      </c>
      <c r="C369">
        <v>86</v>
      </c>
      <c r="D369">
        <v>84</v>
      </c>
      <c r="E369">
        <v>84</v>
      </c>
      <c r="F369">
        <v>90</v>
      </c>
      <c r="G369" s="9">
        <v>86</v>
      </c>
      <c r="H369" s="9">
        <f t="shared" si="77"/>
        <v>2</v>
      </c>
      <c r="I369" t="s">
        <v>285</v>
      </c>
      <c r="J369" t="s">
        <v>276</v>
      </c>
      <c r="K369" t="s">
        <v>274</v>
      </c>
    </row>
    <row r="370" spans="1:11" x14ac:dyDescent="0.25">
      <c r="A370" s="5" t="s">
        <v>223</v>
      </c>
      <c r="B370" s="7" t="s">
        <v>275</v>
      </c>
      <c r="C370">
        <v>83</v>
      </c>
      <c r="D370">
        <v>77</v>
      </c>
      <c r="E370">
        <v>91</v>
      </c>
      <c r="F370">
        <v>86</v>
      </c>
      <c r="G370" s="9">
        <v>84.25</v>
      </c>
      <c r="H370" s="9">
        <f t="shared" si="77"/>
        <v>2.25</v>
      </c>
      <c r="I370" t="s">
        <v>285</v>
      </c>
      <c r="J370" t="s">
        <v>270</v>
      </c>
      <c r="K370" t="s">
        <v>271</v>
      </c>
    </row>
    <row r="371" spans="1:11" x14ac:dyDescent="0.25">
      <c r="A371" s="5" t="str">
        <f>IFERROR(Students!B46, "Student Not Found")</f>
        <v>Carlo Morales</v>
      </c>
      <c r="B371" s="7" t="s">
        <v>281</v>
      </c>
      <c r="C371">
        <v>96</v>
      </c>
      <c r="D371">
        <v>95</v>
      </c>
      <c r="E371">
        <v>80</v>
      </c>
      <c r="F371">
        <v>98</v>
      </c>
      <c r="G371" s="9">
        <f t="shared" ref="G371:G376" si="88">AVERAGE(C371:F371)</f>
        <v>92.25</v>
      </c>
      <c r="H371" s="9">
        <f t="shared" si="77"/>
        <v>1.5</v>
      </c>
      <c r="I371" t="str">
        <f t="shared" ref="I371:I376" si="89">IF(H371&lt;=3,"PASSED","FAILED")</f>
        <v>PASSED</v>
      </c>
      <c r="J371" t="s">
        <v>270</v>
      </c>
      <c r="K371" t="s">
        <v>271</v>
      </c>
    </row>
    <row r="372" spans="1:11" x14ac:dyDescent="0.25">
      <c r="A372" s="5" t="s">
        <v>233</v>
      </c>
      <c r="B372" s="7" t="s">
        <v>269</v>
      </c>
      <c r="C372">
        <v>88</v>
      </c>
      <c r="D372">
        <v>98</v>
      </c>
      <c r="E372">
        <v>92</v>
      </c>
      <c r="F372">
        <v>75</v>
      </c>
      <c r="G372" s="9">
        <f t="shared" si="88"/>
        <v>88.25</v>
      </c>
      <c r="H372" s="9">
        <f t="shared" si="77"/>
        <v>2</v>
      </c>
      <c r="I372" t="str">
        <f t="shared" si="89"/>
        <v>PASSED</v>
      </c>
      <c r="J372" t="s">
        <v>270</v>
      </c>
      <c r="K372" t="s">
        <v>271</v>
      </c>
    </row>
    <row r="373" spans="1:11" x14ac:dyDescent="0.25">
      <c r="A373" s="5" t="s">
        <v>233</v>
      </c>
      <c r="B373" s="7" t="s">
        <v>272</v>
      </c>
      <c r="C373">
        <v>94</v>
      </c>
      <c r="D373">
        <v>96</v>
      </c>
      <c r="E373">
        <v>98</v>
      </c>
      <c r="F373">
        <v>77</v>
      </c>
      <c r="G373" s="9">
        <f t="shared" si="88"/>
        <v>91.25</v>
      </c>
      <c r="H373" s="9">
        <f t="shared" si="77"/>
        <v>1.5</v>
      </c>
      <c r="I373" t="str">
        <f t="shared" si="89"/>
        <v>PASSED</v>
      </c>
      <c r="J373" t="s">
        <v>270</v>
      </c>
      <c r="K373" t="s">
        <v>274</v>
      </c>
    </row>
    <row r="374" spans="1:11" x14ac:dyDescent="0.25">
      <c r="A374" s="5" t="s">
        <v>233</v>
      </c>
      <c r="B374" s="7" t="s">
        <v>280</v>
      </c>
      <c r="C374">
        <v>89</v>
      </c>
      <c r="D374">
        <v>99</v>
      </c>
      <c r="E374">
        <v>83</v>
      </c>
      <c r="F374">
        <v>76</v>
      </c>
      <c r="G374" s="9">
        <f t="shared" si="88"/>
        <v>86.75</v>
      </c>
      <c r="H374" s="9">
        <f t="shared" si="77"/>
        <v>2</v>
      </c>
      <c r="I374" t="str">
        <f t="shared" si="89"/>
        <v>PASSED</v>
      </c>
      <c r="J374" t="s">
        <v>270</v>
      </c>
      <c r="K374" t="s">
        <v>274</v>
      </c>
    </row>
    <row r="375" spans="1:11" x14ac:dyDescent="0.25">
      <c r="A375" s="5" t="s">
        <v>233</v>
      </c>
      <c r="B375" s="7" t="s">
        <v>282</v>
      </c>
      <c r="C375">
        <v>78</v>
      </c>
      <c r="D375">
        <v>94</v>
      </c>
      <c r="E375">
        <v>94</v>
      </c>
      <c r="F375">
        <v>78</v>
      </c>
      <c r="G375" s="9">
        <f t="shared" si="88"/>
        <v>86</v>
      </c>
      <c r="H375" s="9">
        <f t="shared" si="77"/>
        <v>2</v>
      </c>
      <c r="I375" t="str">
        <f t="shared" si="89"/>
        <v>PASSED</v>
      </c>
      <c r="J375" t="s">
        <v>279</v>
      </c>
      <c r="K375" t="s">
        <v>274</v>
      </c>
    </row>
    <row r="376" spans="1:11" x14ac:dyDescent="0.25">
      <c r="A376" s="5" t="s">
        <v>233</v>
      </c>
      <c r="B376" s="7" t="s">
        <v>278</v>
      </c>
      <c r="C376">
        <v>80</v>
      </c>
      <c r="D376">
        <v>75</v>
      </c>
      <c r="E376">
        <v>91</v>
      </c>
      <c r="F376">
        <v>80</v>
      </c>
      <c r="G376" s="9">
        <f t="shared" si="88"/>
        <v>81.5</v>
      </c>
      <c r="H376" s="9">
        <f t="shared" si="77"/>
        <v>2.5</v>
      </c>
      <c r="I376" t="str">
        <f t="shared" si="89"/>
        <v>PASSED</v>
      </c>
      <c r="J376" t="s">
        <v>270</v>
      </c>
      <c r="K376" t="s">
        <v>271</v>
      </c>
    </row>
    <row r="377" spans="1:11" x14ac:dyDescent="0.25">
      <c r="A377" s="5" t="s">
        <v>233</v>
      </c>
      <c r="B377" s="7" t="s">
        <v>277</v>
      </c>
      <c r="C377">
        <v>97</v>
      </c>
      <c r="D377">
        <v>91</v>
      </c>
      <c r="E377">
        <v>81</v>
      </c>
      <c r="F377">
        <v>99</v>
      </c>
      <c r="G377" s="9">
        <v>92</v>
      </c>
      <c r="H377" s="9">
        <f t="shared" si="77"/>
        <v>1.5</v>
      </c>
      <c r="I377" t="s">
        <v>285</v>
      </c>
      <c r="J377" t="s">
        <v>276</v>
      </c>
      <c r="K377" t="s">
        <v>274</v>
      </c>
    </row>
    <row r="378" spans="1:11" x14ac:dyDescent="0.25">
      <c r="A378" s="5" t="s">
        <v>233</v>
      </c>
      <c r="B378" s="7" t="s">
        <v>273</v>
      </c>
      <c r="C378">
        <v>97</v>
      </c>
      <c r="D378">
        <v>91</v>
      </c>
      <c r="E378">
        <v>81</v>
      </c>
      <c r="F378">
        <v>99</v>
      </c>
      <c r="G378" s="9">
        <v>92</v>
      </c>
      <c r="H378" s="9">
        <f t="shared" si="77"/>
        <v>1.5</v>
      </c>
      <c r="I378" t="s">
        <v>285</v>
      </c>
      <c r="J378" t="s">
        <v>276</v>
      </c>
      <c r="K378" t="s">
        <v>274</v>
      </c>
    </row>
    <row r="379" spans="1:11" x14ac:dyDescent="0.25">
      <c r="A379" s="5" t="s">
        <v>233</v>
      </c>
      <c r="B379" s="7" t="s">
        <v>275</v>
      </c>
      <c r="C379">
        <v>85</v>
      </c>
      <c r="D379">
        <v>96</v>
      </c>
      <c r="E379">
        <v>83</v>
      </c>
      <c r="F379">
        <v>99</v>
      </c>
      <c r="G379" s="9">
        <v>90.75</v>
      </c>
      <c r="H379" s="9">
        <f t="shared" si="77"/>
        <v>1.75</v>
      </c>
      <c r="I379" t="s">
        <v>285</v>
      </c>
      <c r="J379" t="s">
        <v>270</v>
      </c>
      <c r="K379" t="s">
        <v>274</v>
      </c>
    </row>
    <row r="380" spans="1:11" x14ac:dyDescent="0.25">
      <c r="A380" s="5" t="str">
        <f>IFERROR(Students!B49, "Student Not Found")</f>
        <v>Carlo Perez</v>
      </c>
      <c r="B380" s="7" t="s">
        <v>281</v>
      </c>
      <c r="C380">
        <v>95</v>
      </c>
      <c r="D380">
        <v>98</v>
      </c>
      <c r="E380">
        <v>91</v>
      </c>
      <c r="F380">
        <v>88</v>
      </c>
      <c r="G380" s="9">
        <f t="shared" ref="G380:G385" si="90">AVERAGE(C380:F380)</f>
        <v>93</v>
      </c>
      <c r="H380" s="9">
        <f t="shared" si="77"/>
        <v>1.5</v>
      </c>
      <c r="I380" t="str">
        <f t="shared" ref="I380:I385" si="91">IF(H380&lt;=3,"PASSED","FAILED")</f>
        <v>PASSED</v>
      </c>
      <c r="J380" t="s">
        <v>279</v>
      </c>
      <c r="K380" t="s">
        <v>274</v>
      </c>
    </row>
    <row r="381" spans="1:11" x14ac:dyDescent="0.25">
      <c r="A381" s="5" t="s">
        <v>248</v>
      </c>
      <c r="B381" s="7" t="s">
        <v>269</v>
      </c>
      <c r="C381">
        <v>89</v>
      </c>
      <c r="D381">
        <v>91</v>
      </c>
      <c r="E381">
        <v>91</v>
      </c>
      <c r="F381">
        <v>83</v>
      </c>
      <c r="G381" s="9">
        <f t="shared" si="90"/>
        <v>88.5</v>
      </c>
      <c r="H381" s="9">
        <f t="shared" si="77"/>
        <v>2</v>
      </c>
      <c r="I381" t="str">
        <f t="shared" si="91"/>
        <v>PASSED</v>
      </c>
      <c r="J381" t="s">
        <v>276</v>
      </c>
      <c r="K381" t="s">
        <v>271</v>
      </c>
    </row>
    <row r="382" spans="1:11" x14ac:dyDescent="0.25">
      <c r="A382" s="5" t="s">
        <v>248</v>
      </c>
      <c r="B382" s="7" t="s">
        <v>272</v>
      </c>
      <c r="C382">
        <v>82</v>
      </c>
      <c r="D382">
        <v>95</v>
      </c>
      <c r="E382">
        <v>80</v>
      </c>
      <c r="F382">
        <v>83</v>
      </c>
      <c r="G382" s="9">
        <f t="shared" si="90"/>
        <v>85</v>
      </c>
      <c r="H382" s="9">
        <f t="shared" si="77"/>
        <v>2.25</v>
      </c>
      <c r="I382" t="str">
        <f t="shared" si="91"/>
        <v>PASSED</v>
      </c>
      <c r="J382" t="s">
        <v>270</v>
      </c>
      <c r="K382" t="s">
        <v>274</v>
      </c>
    </row>
    <row r="383" spans="1:11" x14ac:dyDescent="0.25">
      <c r="A383" s="5" t="s">
        <v>248</v>
      </c>
      <c r="B383" s="7" t="s">
        <v>280</v>
      </c>
      <c r="C383">
        <v>91</v>
      </c>
      <c r="D383">
        <v>93</v>
      </c>
      <c r="E383">
        <v>96</v>
      </c>
      <c r="F383">
        <v>77</v>
      </c>
      <c r="G383" s="9">
        <f t="shared" si="90"/>
        <v>89.25</v>
      </c>
      <c r="H383" s="9">
        <f t="shared" si="77"/>
        <v>1.75</v>
      </c>
      <c r="I383" t="str">
        <f t="shared" si="91"/>
        <v>PASSED</v>
      </c>
      <c r="J383" t="s">
        <v>279</v>
      </c>
      <c r="K383" t="s">
        <v>274</v>
      </c>
    </row>
    <row r="384" spans="1:11" x14ac:dyDescent="0.25">
      <c r="A384" s="5" t="s">
        <v>248</v>
      </c>
      <c r="B384" s="7" t="s">
        <v>282</v>
      </c>
      <c r="C384">
        <v>92</v>
      </c>
      <c r="D384">
        <v>76</v>
      </c>
      <c r="E384">
        <v>77</v>
      </c>
      <c r="F384">
        <v>76</v>
      </c>
      <c r="G384" s="9">
        <f t="shared" si="90"/>
        <v>80.25</v>
      </c>
      <c r="H384" s="9">
        <f t="shared" si="77"/>
        <v>2.5</v>
      </c>
      <c r="I384" t="str">
        <f t="shared" si="91"/>
        <v>PASSED</v>
      </c>
      <c r="J384" t="s">
        <v>270</v>
      </c>
      <c r="K384" t="s">
        <v>274</v>
      </c>
    </row>
    <row r="385" spans="1:11" x14ac:dyDescent="0.25">
      <c r="A385" s="5" t="s">
        <v>248</v>
      </c>
      <c r="B385" s="7" t="s">
        <v>278</v>
      </c>
      <c r="C385">
        <v>95</v>
      </c>
      <c r="D385">
        <v>88</v>
      </c>
      <c r="E385">
        <v>94</v>
      </c>
      <c r="F385">
        <v>82</v>
      </c>
      <c r="G385" s="9">
        <f t="shared" si="90"/>
        <v>89.75</v>
      </c>
      <c r="H385" s="9">
        <f t="shared" si="77"/>
        <v>1.75</v>
      </c>
      <c r="I385" t="str">
        <f t="shared" si="91"/>
        <v>PASSED</v>
      </c>
      <c r="J385" t="s">
        <v>270</v>
      </c>
      <c r="K385" t="s">
        <v>271</v>
      </c>
    </row>
    <row r="386" spans="1:11" x14ac:dyDescent="0.25">
      <c r="A386" s="5" t="s">
        <v>248</v>
      </c>
      <c r="B386" s="7" t="s">
        <v>277</v>
      </c>
      <c r="C386">
        <v>86</v>
      </c>
      <c r="D386">
        <v>91</v>
      </c>
      <c r="E386">
        <v>95</v>
      </c>
      <c r="F386">
        <v>83</v>
      </c>
      <c r="G386" s="9">
        <v>88.75</v>
      </c>
      <c r="H386" s="9">
        <f t="shared" si="77"/>
        <v>2</v>
      </c>
      <c r="I386" t="s">
        <v>285</v>
      </c>
      <c r="J386" t="s">
        <v>279</v>
      </c>
      <c r="K386" t="s">
        <v>274</v>
      </c>
    </row>
    <row r="387" spans="1:11" x14ac:dyDescent="0.25">
      <c r="A387" s="5" t="s">
        <v>248</v>
      </c>
      <c r="B387" s="7" t="s">
        <v>273</v>
      </c>
      <c r="C387">
        <v>86</v>
      </c>
      <c r="D387">
        <v>91</v>
      </c>
      <c r="E387">
        <v>95</v>
      </c>
      <c r="F387">
        <v>83</v>
      </c>
      <c r="G387" s="9">
        <v>88.75</v>
      </c>
      <c r="H387" s="9">
        <f t="shared" ref="H387:H450" si="92">IF(G387&gt;=96,1,IF(G387&gt;=94,1.25,IF(G387&gt;=91,1.5,IF(G387&gt;=89,1.75,IF(G387&gt;=86,2,IF(G387&gt;=83,2.25,IF(G387&gt;=80,2.5,IF(G387&gt;=77,2.75,IF(G387&gt;=75,3,5)))))))))</f>
        <v>2</v>
      </c>
      <c r="I387" t="s">
        <v>285</v>
      </c>
      <c r="J387" t="s">
        <v>279</v>
      </c>
      <c r="K387" t="s">
        <v>274</v>
      </c>
    </row>
    <row r="388" spans="1:11" x14ac:dyDescent="0.25">
      <c r="A388" s="5" t="s">
        <v>248</v>
      </c>
      <c r="B388" s="7" t="s">
        <v>275</v>
      </c>
      <c r="C388">
        <v>96</v>
      </c>
      <c r="D388">
        <v>98</v>
      </c>
      <c r="E388">
        <v>84</v>
      </c>
      <c r="F388">
        <v>80</v>
      </c>
      <c r="G388" s="9">
        <v>89.5</v>
      </c>
      <c r="H388" s="9">
        <f t="shared" si="92"/>
        <v>1.75</v>
      </c>
      <c r="I388" t="s">
        <v>285</v>
      </c>
      <c r="J388" t="s">
        <v>270</v>
      </c>
      <c r="K388" t="s">
        <v>274</v>
      </c>
    </row>
    <row r="389" spans="1:11" x14ac:dyDescent="0.25">
      <c r="A389" s="5" t="str">
        <f>IFERROR(Students!B40, "Student Not Found")</f>
        <v>Carlo Ramos</v>
      </c>
      <c r="B389" s="7" t="s">
        <v>281</v>
      </c>
      <c r="C389">
        <v>86</v>
      </c>
      <c r="D389">
        <v>85</v>
      </c>
      <c r="E389">
        <v>80</v>
      </c>
      <c r="F389">
        <v>77</v>
      </c>
      <c r="G389" s="9">
        <f t="shared" ref="G389:G394" si="93">AVERAGE(C389:F389)</f>
        <v>82</v>
      </c>
      <c r="H389" s="9">
        <f t="shared" si="92"/>
        <v>2.5</v>
      </c>
      <c r="I389" t="str">
        <f t="shared" ref="I389:I394" si="94">IF(H389&lt;=3,"PASSED","FAILED")</f>
        <v>PASSED</v>
      </c>
      <c r="J389" t="s">
        <v>276</v>
      </c>
      <c r="K389" t="s">
        <v>274</v>
      </c>
    </row>
    <row r="390" spans="1:11" x14ac:dyDescent="0.25">
      <c r="A390" s="5" t="s">
        <v>203</v>
      </c>
      <c r="B390" s="7" t="s">
        <v>269</v>
      </c>
      <c r="C390">
        <v>85</v>
      </c>
      <c r="D390">
        <v>84</v>
      </c>
      <c r="E390">
        <v>93</v>
      </c>
      <c r="F390">
        <v>89</v>
      </c>
      <c r="G390" s="9">
        <f t="shared" si="93"/>
        <v>87.75</v>
      </c>
      <c r="H390" s="9">
        <f t="shared" si="92"/>
        <v>2</v>
      </c>
      <c r="I390" t="str">
        <f t="shared" si="94"/>
        <v>PASSED</v>
      </c>
      <c r="J390" t="s">
        <v>270</v>
      </c>
      <c r="K390" t="s">
        <v>274</v>
      </c>
    </row>
    <row r="391" spans="1:11" x14ac:dyDescent="0.25">
      <c r="A391" s="5" t="s">
        <v>203</v>
      </c>
      <c r="B391" s="7" t="s">
        <v>272</v>
      </c>
      <c r="C391">
        <v>94</v>
      </c>
      <c r="D391">
        <v>85</v>
      </c>
      <c r="E391">
        <v>80</v>
      </c>
      <c r="F391">
        <v>94</v>
      </c>
      <c r="G391" s="9">
        <f t="shared" si="93"/>
        <v>88.25</v>
      </c>
      <c r="H391" s="9">
        <f t="shared" si="92"/>
        <v>2</v>
      </c>
      <c r="I391" t="str">
        <f t="shared" si="94"/>
        <v>PASSED</v>
      </c>
      <c r="J391" t="s">
        <v>270</v>
      </c>
      <c r="K391" t="s">
        <v>271</v>
      </c>
    </row>
    <row r="392" spans="1:11" x14ac:dyDescent="0.25">
      <c r="A392" s="5" t="s">
        <v>203</v>
      </c>
      <c r="B392" s="7" t="s">
        <v>280</v>
      </c>
      <c r="C392">
        <v>88</v>
      </c>
      <c r="D392">
        <v>78</v>
      </c>
      <c r="E392">
        <v>98</v>
      </c>
      <c r="F392">
        <v>82</v>
      </c>
      <c r="G392" s="9">
        <f t="shared" si="93"/>
        <v>86.5</v>
      </c>
      <c r="H392" s="9">
        <f t="shared" si="92"/>
        <v>2</v>
      </c>
      <c r="I392" t="str">
        <f t="shared" si="94"/>
        <v>PASSED</v>
      </c>
      <c r="J392" t="s">
        <v>279</v>
      </c>
      <c r="K392" t="s">
        <v>271</v>
      </c>
    </row>
    <row r="393" spans="1:11" x14ac:dyDescent="0.25">
      <c r="A393" s="5" t="s">
        <v>203</v>
      </c>
      <c r="B393" s="7" t="s">
        <v>282</v>
      </c>
      <c r="C393">
        <v>76</v>
      </c>
      <c r="D393">
        <v>92</v>
      </c>
      <c r="E393">
        <v>79</v>
      </c>
      <c r="F393">
        <v>84</v>
      </c>
      <c r="G393" s="9">
        <f t="shared" si="93"/>
        <v>82.75</v>
      </c>
      <c r="H393" s="9">
        <f t="shared" si="92"/>
        <v>2.5</v>
      </c>
      <c r="I393" t="str">
        <f t="shared" si="94"/>
        <v>PASSED</v>
      </c>
      <c r="J393" t="s">
        <v>279</v>
      </c>
      <c r="K393" t="s">
        <v>271</v>
      </c>
    </row>
    <row r="394" spans="1:11" x14ac:dyDescent="0.25">
      <c r="A394" s="5" t="s">
        <v>203</v>
      </c>
      <c r="B394" s="7" t="s">
        <v>278</v>
      </c>
      <c r="C394">
        <v>97</v>
      </c>
      <c r="D394">
        <v>75</v>
      </c>
      <c r="E394">
        <v>81</v>
      </c>
      <c r="F394">
        <v>79</v>
      </c>
      <c r="G394" s="9">
        <f t="shared" si="93"/>
        <v>83</v>
      </c>
      <c r="H394" s="9">
        <f t="shared" si="92"/>
        <v>2.25</v>
      </c>
      <c r="I394" t="str">
        <f t="shared" si="94"/>
        <v>PASSED</v>
      </c>
      <c r="J394" t="s">
        <v>276</v>
      </c>
      <c r="K394" t="s">
        <v>271</v>
      </c>
    </row>
    <row r="395" spans="1:11" x14ac:dyDescent="0.25">
      <c r="A395" s="5" t="s">
        <v>203</v>
      </c>
      <c r="B395" s="7" t="s">
        <v>277</v>
      </c>
      <c r="C395">
        <v>93</v>
      </c>
      <c r="D395">
        <v>96</v>
      </c>
      <c r="E395">
        <v>84</v>
      </c>
      <c r="F395">
        <v>78</v>
      </c>
      <c r="G395" s="9">
        <v>87.75</v>
      </c>
      <c r="H395" s="9">
        <f t="shared" si="92"/>
        <v>2</v>
      </c>
      <c r="I395" t="s">
        <v>285</v>
      </c>
      <c r="J395" t="s">
        <v>279</v>
      </c>
      <c r="K395" t="s">
        <v>274</v>
      </c>
    </row>
    <row r="396" spans="1:11" x14ac:dyDescent="0.25">
      <c r="A396" s="5" t="s">
        <v>203</v>
      </c>
      <c r="B396" s="7" t="s">
        <v>273</v>
      </c>
      <c r="C396">
        <v>93</v>
      </c>
      <c r="D396">
        <v>96</v>
      </c>
      <c r="E396">
        <v>84</v>
      </c>
      <c r="F396">
        <v>78</v>
      </c>
      <c r="G396" s="9">
        <v>87.75</v>
      </c>
      <c r="H396" s="9">
        <f t="shared" si="92"/>
        <v>2</v>
      </c>
      <c r="I396" t="s">
        <v>285</v>
      </c>
      <c r="J396" t="s">
        <v>279</v>
      </c>
      <c r="K396" t="s">
        <v>274</v>
      </c>
    </row>
    <row r="397" spans="1:11" x14ac:dyDescent="0.25">
      <c r="A397" s="5" t="s">
        <v>203</v>
      </c>
      <c r="B397" s="7" t="s">
        <v>275</v>
      </c>
      <c r="C397">
        <v>96</v>
      </c>
      <c r="D397">
        <v>83</v>
      </c>
      <c r="E397">
        <v>86</v>
      </c>
      <c r="F397">
        <v>79</v>
      </c>
      <c r="G397" s="9">
        <v>86</v>
      </c>
      <c r="H397" s="9">
        <f t="shared" si="92"/>
        <v>2</v>
      </c>
      <c r="I397" t="s">
        <v>285</v>
      </c>
      <c r="J397" t="s">
        <v>270</v>
      </c>
      <c r="K397" t="s">
        <v>274</v>
      </c>
    </row>
    <row r="398" spans="1:11" x14ac:dyDescent="0.25">
      <c r="A398" s="5" t="str">
        <f>IFERROR(Students!B36, "Student Not Found")</f>
        <v>Carlo Reyes</v>
      </c>
      <c r="B398" s="7" t="s">
        <v>281</v>
      </c>
      <c r="C398">
        <v>98</v>
      </c>
      <c r="D398">
        <v>97</v>
      </c>
      <c r="E398">
        <v>83</v>
      </c>
      <c r="F398">
        <v>88</v>
      </c>
      <c r="G398" s="9">
        <f t="shared" ref="G398:G404" si="95">AVERAGE(C398:F398)</f>
        <v>91.5</v>
      </c>
      <c r="H398" s="9">
        <f t="shared" si="92"/>
        <v>1.5</v>
      </c>
      <c r="I398" t="str">
        <f t="shared" ref="I398:I404" si="96">IF(H398&lt;=3,"PASSED","FAILED")</f>
        <v>PASSED</v>
      </c>
      <c r="J398" t="s">
        <v>276</v>
      </c>
      <c r="K398" t="s">
        <v>274</v>
      </c>
    </row>
    <row r="399" spans="1:11" x14ac:dyDescent="0.25">
      <c r="A399" s="5" t="s">
        <v>183</v>
      </c>
      <c r="B399" s="7" t="s">
        <v>269</v>
      </c>
      <c r="C399">
        <v>81</v>
      </c>
      <c r="D399">
        <v>83</v>
      </c>
      <c r="E399">
        <v>81</v>
      </c>
      <c r="F399">
        <v>84</v>
      </c>
      <c r="G399" s="9">
        <f t="shared" si="95"/>
        <v>82.25</v>
      </c>
      <c r="H399" s="9">
        <f t="shared" si="92"/>
        <v>2.5</v>
      </c>
      <c r="I399" t="str">
        <f t="shared" si="96"/>
        <v>PASSED</v>
      </c>
      <c r="J399" t="s">
        <v>270</v>
      </c>
      <c r="K399" t="s">
        <v>271</v>
      </c>
    </row>
    <row r="400" spans="1:11" x14ac:dyDescent="0.25">
      <c r="A400" s="5" t="s">
        <v>183</v>
      </c>
      <c r="B400" s="7" t="s">
        <v>272</v>
      </c>
      <c r="C400">
        <v>81</v>
      </c>
      <c r="D400">
        <v>85</v>
      </c>
      <c r="E400">
        <v>95</v>
      </c>
      <c r="F400">
        <v>96</v>
      </c>
      <c r="G400" s="9">
        <f t="shared" si="95"/>
        <v>89.25</v>
      </c>
      <c r="H400" s="9">
        <f t="shared" si="92"/>
        <v>1.75</v>
      </c>
      <c r="I400" t="str">
        <f t="shared" si="96"/>
        <v>PASSED</v>
      </c>
      <c r="J400" t="s">
        <v>270</v>
      </c>
      <c r="K400" t="s">
        <v>274</v>
      </c>
    </row>
    <row r="401" spans="1:11" x14ac:dyDescent="0.25">
      <c r="A401" s="5" t="s">
        <v>183</v>
      </c>
      <c r="B401" s="7" t="s">
        <v>280</v>
      </c>
      <c r="C401">
        <v>75</v>
      </c>
      <c r="D401">
        <v>98</v>
      </c>
      <c r="E401">
        <v>89</v>
      </c>
      <c r="F401">
        <v>87</v>
      </c>
      <c r="G401" s="9">
        <f t="shared" si="95"/>
        <v>87.25</v>
      </c>
      <c r="H401" s="9">
        <f t="shared" si="92"/>
        <v>2</v>
      </c>
      <c r="I401" t="str">
        <f t="shared" si="96"/>
        <v>PASSED</v>
      </c>
      <c r="J401" t="s">
        <v>270</v>
      </c>
      <c r="K401" t="s">
        <v>274</v>
      </c>
    </row>
    <row r="402" spans="1:11" x14ac:dyDescent="0.25">
      <c r="A402" s="5" t="s">
        <v>183</v>
      </c>
      <c r="B402" s="8" t="s">
        <v>282</v>
      </c>
      <c r="C402">
        <v>90</v>
      </c>
      <c r="D402">
        <v>98</v>
      </c>
      <c r="E402">
        <v>96</v>
      </c>
      <c r="F402">
        <v>92</v>
      </c>
      <c r="G402" s="9">
        <f t="shared" si="95"/>
        <v>94</v>
      </c>
      <c r="H402" s="9">
        <f t="shared" si="92"/>
        <v>1.25</v>
      </c>
      <c r="I402" t="str">
        <f t="shared" si="96"/>
        <v>PASSED</v>
      </c>
      <c r="J402" t="s">
        <v>270</v>
      </c>
      <c r="K402" t="s">
        <v>271</v>
      </c>
    </row>
    <row r="403" spans="1:11" x14ac:dyDescent="0.25">
      <c r="A403" s="5" t="s">
        <v>183</v>
      </c>
      <c r="B403" s="8" t="s">
        <v>278</v>
      </c>
      <c r="C403">
        <v>91</v>
      </c>
      <c r="D403">
        <v>83</v>
      </c>
      <c r="E403">
        <v>91</v>
      </c>
      <c r="F403">
        <v>89</v>
      </c>
      <c r="G403" s="9">
        <f t="shared" si="95"/>
        <v>88.5</v>
      </c>
      <c r="H403" s="9">
        <f t="shared" si="92"/>
        <v>2</v>
      </c>
      <c r="I403" t="str">
        <f t="shared" si="96"/>
        <v>PASSED</v>
      </c>
      <c r="J403" t="s">
        <v>276</v>
      </c>
      <c r="K403" t="s">
        <v>271</v>
      </c>
    </row>
    <row r="404" spans="1:11" x14ac:dyDescent="0.25">
      <c r="A404" s="5" t="s">
        <v>183</v>
      </c>
      <c r="B404" s="8" t="s">
        <v>277</v>
      </c>
      <c r="C404">
        <v>81</v>
      </c>
      <c r="D404">
        <v>83</v>
      </c>
      <c r="E404">
        <v>96</v>
      </c>
      <c r="F404">
        <v>89</v>
      </c>
      <c r="G404" s="9">
        <f t="shared" si="95"/>
        <v>87.25</v>
      </c>
      <c r="H404" s="9">
        <f t="shared" si="92"/>
        <v>2</v>
      </c>
      <c r="I404" t="str">
        <f t="shared" si="96"/>
        <v>PASSED</v>
      </c>
      <c r="J404" t="s">
        <v>270</v>
      </c>
      <c r="K404" t="s">
        <v>271</v>
      </c>
    </row>
    <row r="405" spans="1:11" x14ac:dyDescent="0.25">
      <c r="A405" s="5" t="s">
        <v>183</v>
      </c>
      <c r="B405" s="8" t="s">
        <v>273</v>
      </c>
      <c r="C405">
        <v>88</v>
      </c>
      <c r="D405">
        <v>99</v>
      </c>
      <c r="E405">
        <v>98</v>
      </c>
      <c r="F405">
        <v>87</v>
      </c>
      <c r="G405" s="9">
        <v>93</v>
      </c>
      <c r="H405" s="9">
        <f t="shared" si="92"/>
        <v>1.5</v>
      </c>
      <c r="I405" t="s">
        <v>285</v>
      </c>
      <c r="J405" t="s">
        <v>270</v>
      </c>
      <c r="K405" t="s">
        <v>271</v>
      </c>
    </row>
    <row r="406" spans="1:11" x14ac:dyDescent="0.25">
      <c r="A406" s="5" t="s">
        <v>183</v>
      </c>
      <c r="B406" s="8" t="s">
        <v>275</v>
      </c>
      <c r="C406">
        <v>88</v>
      </c>
      <c r="D406">
        <v>99</v>
      </c>
      <c r="E406">
        <v>98</v>
      </c>
      <c r="F406">
        <v>87</v>
      </c>
      <c r="G406" s="9">
        <v>93</v>
      </c>
      <c r="H406" s="9">
        <f t="shared" si="92"/>
        <v>1.5</v>
      </c>
      <c r="I406" t="s">
        <v>285</v>
      </c>
      <c r="J406" t="s">
        <v>270</v>
      </c>
      <c r="K406" t="s">
        <v>271</v>
      </c>
    </row>
    <row r="407" spans="1:11" x14ac:dyDescent="0.25">
      <c r="A407" s="5" t="str">
        <f>IFERROR(Students!B43, "Student Not Found")</f>
        <v>Carlo Rivera</v>
      </c>
      <c r="B407" s="8" t="s">
        <v>281</v>
      </c>
      <c r="C407">
        <v>95</v>
      </c>
      <c r="D407">
        <v>79</v>
      </c>
      <c r="E407">
        <v>98</v>
      </c>
      <c r="F407">
        <v>78</v>
      </c>
      <c r="G407" s="9">
        <f t="shared" ref="G407:G412" si="97">AVERAGE(C407:F407)</f>
        <v>87.5</v>
      </c>
      <c r="H407" s="9">
        <f t="shared" si="92"/>
        <v>2</v>
      </c>
      <c r="I407" t="str">
        <f t="shared" ref="I407:I412" si="98">IF(H407&lt;=3,"PASSED","FAILED")</f>
        <v>PASSED</v>
      </c>
      <c r="J407" t="s">
        <v>270</v>
      </c>
      <c r="K407" t="s">
        <v>274</v>
      </c>
    </row>
    <row r="408" spans="1:11" x14ac:dyDescent="0.25">
      <c r="A408" s="5" t="s">
        <v>218</v>
      </c>
      <c r="B408" s="8" t="s">
        <v>269</v>
      </c>
      <c r="C408">
        <v>93</v>
      </c>
      <c r="D408">
        <v>83</v>
      </c>
      <c r="E408">
        <v>80</v>
      </c>
      <c r="F408">
        <v>92</v>
      </c>
      <c r="G408" s="9">
        <f t="shared" si="97"/>
        <v>87</v>
      </c>
      <c r="H408" s="9">
        <f t="shared" si="92"/>
        <v>2</v>
      </c>
      <c r="I408" t="str">
        <f t="shared" si="98"/>
        <v>PASSED</v>
      </c>
      <c r="J408" t="s">
        <v>276</v>
      </c>
      <c r="K408" t="s">
        <v>274</v>
      </c>
    </row>
    <row r="409" spans="1:11" x14ac:dyDescent="0.25">
      <c r="A409" s="5" t="s">
        <v>218</v>
      </c>
      <c r="B409" s="8" t="s">
        <v>272</v>
      </c>
      <c r="C409">
        <v>86</v>
      </c>
      <c r="D409">
        <v>94</v>
      </c>
      <c r="E409">
        <v>97</v>
      </c>
      <c r="F409">
        <v>81</v>
      </c>
      <c r="G409" s="9">
        <f t="shared" si="97"/>
        <v>89.5</v>
      </c>
      <c r="H409" s="9">
        <f t="shared" si="92"/>
        <v>1.75</v>
      </c>
      <c r="I409" t="str">
        <f t="shared" si="98"/>
        <v>PASSED</v>
      </c>
      <c r="J409" t="s">
        <v>276</v>
      </c>
      <c r="K409" t="s">
        <v>274</v>
      </c>
    </row>
    <row r="410" spans="1:11" x14ac:dyDescent="0.25">
      <c r="A410" s="5" t="s">
        <v>218</v>
      </c>
      <c r="B410" s="8" t="s">
        <v>280</v>
      </c>
      <c r="C410">
        <v>81</v>
      </c>
      <c r="D410">
        <v>93</v>
      </c>
      <c r="E410">
        <v>78</v>
      </c>
      <c r="F410">
        <v>98</v>
      </c>
      <c r="G410" s="9">
        <f t="shared" si="97"/>
        <v>87.5</v>
      </c>
      <c r="H410" s="9">
        <f t="shared" si="92"/>
        <v>2</v>
      </c>
      <c r="I410" t="str">
        <f t="shared" si="98"/>
        <v>PASSED</v>
      </c>
      <c r="J410" t="s">
        <v>279</v>
      </c>
      <c r="K410" t="s">
        <v>274</v>
      </c>
    </row>
    <row r="411" spans="1:11" x14ac:dyDescent="0.25">
      <c r="A411" s="5" t="s">
        <v>218</v>
      </c>
      <c r="B411" s="8" t="s">
        <v>282</v>
      </c>
      <c r="C411">
        <v>77</v>
      </c>
      <c r="D411">
        <v>83</v>
      </c>
      <c r="E411">
        <v>98</v>
      </c>
      <c r="F411">
        <v>94</v>
      </c>
      <c r="G411" s="9">
        <f t="shared" si="97"/>
        <v>88</v>
      </c>
      <c r="H411" s="9">
        <f t="shared" si="92"/>
        <v>2</v>
      </c>
      <c r="I411" t="str">
        <f t="shared" si="98"/>
        <v>PASSED</v>
      </c>
      <c r="J411" t="s">
        <v>276</v>
      </c>
      <c r="K411" t="s">
        <v>271</v>
      </c>
    </row>
    <row r="412" spans="1:11" x14ac:dyDescent="0.25">
      <c r="A412" s="5" t="s">
        <v>218</v>
      </c>
      <c r="B412" s="8" t="s">
        <v>278</v>
      </c>
      <c r="C412">
        <v>93</v>
      </c>
      <c r="D412">
        <v>80</v>
      </c>
      <c r="E412">
        <v>91</v>
      </c>
      <c r="F412">
        <v>96</v>
      </c>
      <c r="G412" s="9">
        <f t="shared" si="97"/>
        <v>90</v>
      </c>
      <c r="H412" s="9">
        <f t="shared" si="92"/>
        <v>1.75</v>
      </c>
      <c r="I412" t="str">
        <f t="shared" si="98"/>
        <v>PASSED</v>
      </c>
      <c r="J412" t="s">
        <v>276</v>
      </c>
      <c r="K412" t="s">
        <v>274</v>
      </c>
    </row>
    <row r="413" spans="1:11" x14ac:dyDescent="0.25">
      <c r="A413" s="5" t="s">
        <v>218</v>
      </c>
      <c r="B413" s="8" t="s">
        <v>277</v>
      </c>
      <c r="C413">
        <v>76</v>
      </c>
      <c r="D413">
        <v>93</v>
      </c>
      <c r="E413">
        <v>83</v>
      </c>
      <c r="F413">
        <v>80</v>
      </c>
      <c r="G413" s="9">
        <v>83</v>
      </c>
      <c r="H413" s="9">
        <f t="shared" si="92"/>
        <v>2.25</v>
      </c>
      <c r="I413" t="s">
        <v>285</v>
      </c>
      <c r="J413" t="s">
        <v>276</v>
      </c>
      <c r="K413" t="s">
        <v>274</v>
      </c>
    </row>
    <row r="414" spans="1:11" x14ac:dyDescent="0.25">
      <c r="A414" s="5" t="s">
        <v>218</v>
      </c>
      <c r="B414" s="8" t="s">
        <v>273</v>
      </c>
      <c r="C414">
        <v>76</v>
      </c>
      <c r="D414">
        <v>93</v>
      </c>
      <c r="E414">
        <v>83</v>
      </c>
      <c r="F414">
        <v>80</v>
      </c>
      <c r="G414" s="9">
        <v>83</v>
      </c>
      <c r="H414" s="9">
        <f t="shared" si="92"/>
        <v>2.25</v>
      </c>
      <c r="I414" t="s">
        <v>285</v>
      </c>
      <c r="J414" t="s">
        <v>276</v>
      </c>
      <c r="K414" t="s">
        <v>274</v>
      </c>
    </row>
    <row r="415" spans="1:11" x14ac:dyDescent="0.25">
      <c r="A415" s="5" t="s">
        <v>218</v>
      </c>
      <c r="B415" s="8" t="s">
        <v>275</v>
      </c>
      <c r="C415">
        <v>94</v>
      </c>
      <c r="D415">
        <v>96</v>
      </c>
      <c r="E415">
        <v>93</v>
      </c>
      <c r="F415">
        <v>96</v>
      </c>
      <c r="G415" s="9">
        <v>94.75</v>
      </c>
      <c r="H415" s="9">
        <f t="shared" si="92"/>
        <v>1.25</v>
      </c>
      <c r="I415" t="s">
        <v>285</v>
      </c>
      <c r="J415" t="s">
        <v>276</v>
      </c>
      <c r="K415" t="s">
        <v>271</v>
      </c>
    </row>
    <row r="416" spans="1:11" x14ac:dyDescent="0.25">
      <c r="A416" s="5" t="str">
        <f>IFERROR(Students!B34, "Student Not Found")</f>
        <v>Carlo Santos</v>
      </c>
      <c r="B416" s="8" t="s">
        <v>281</v>
      </c>
      <c r="C416">
        <v>82</v>
      </c>
      <c r="D416">
        <v>98</v>
      </c>
      <c r="E416">
        <v>80</v>
      </c>
      <c r="F416">
        <v>75</v>
      </c>
      <c r="G416" s="9">
        <f t="shared" ref="G416:G422" si="99">AVERAGE(C416:F416)</f>
        <v>83.75</v>
      </c>
      <c r="H416" s="9">
        <f t="shared" si="92"/>
        <v>2.25</v>
      </c>
      <c r="I416" t="str">
        <f t="shared" ref="I416:I422" si="100">IF(H416&lt;=3,"PASSED","FAILED")</f>
        <v>PASSED</v>
      </c>
      <c r="J416" t="s">
        <v>276</v>
      </c>
      <c r="K416" t="s">
        <v>271</v>
      </c>
    </row>
    <row r="417" spans="1:11" x14ac:dyDescent="0.25">
      <c r="A417" s="5" t="s">
        <v>173</v>
      </c>
      <c r="B417" s="8" t="s">
        <v>269</v>
      </c>
      <c r="C417">
        <v>81</v>
      </c>
      <c r="D417">
        <v>84</v>
      </c>
      <c r="E417">
        <v>89</v>
      </c>
      <c r="F417">
        <v>80</v>
      </c>
      <c r="G417" s="9">
        <f t="shared" si="99"/>
        <v>83.5</v>
      </c>
      <c r="H417" s="9">
        <f t="shared" si="92"/>
        <v>2.25</v>
      </c>
      <c r="I417" t="str">
        <f t="shared" si="100"/>
        <v>PASSED</v>
      </c>
      <c r="J417" t="s">
        <v>276</v>
      </c>
      <c r="K417" t="s">
        <v>274</v>
      </c>
    </row>
    <row r="418" spans="1:11" x14ac:dyDescent="0.25">
      <c r="A418" s="5" t="s">
        <v>173</v>
      </c>
      <c r="B418" s="8" t="s">
        <v>272</v>
      </c>
      <c r="C418">
        <v>75</v>
      </c>
      <c r="D418">
        <v>75</v>
      </c>
      <c r="E418">
        <v>92</v>
      </c>
      <c r="F418">
        <v>95</v>
      </c>
      <c r="G418" s="9">
        <f t="shared" si="99"/>
        <v>84.25</v>
      </c>
      <c r="H418" s="9">
        <f t="shared" si="92"/>
        <v>2.25</v>
      </c>
      <c r="I418" t="str">
        <f t="shared" si="100"/>
        <v>PASSED</v>
      </c>
      <c r="J418" t="s">
        <v>270</v>
      </c>
      <c r="K418" t="s">
        <v>274</v>
      </c>
    </row>
    <row r="419" spans="1:11" x14ac:dyDescent="0.25">
      <c r="A419" s="5" t="s">
        <v>173</v>
      </c>
      <c r="B419" s="8" t="s">
        <v>280</v>
      </c>
      <c r="C419">
        <v>76</v>
      </c>
      <c r="D419">
        <v>78</v>
      </c>
      <c r="E419">
        <v>86</v>
      </c>
      <c r="F419">
        <v>94</v>
      </c>
      <c r="G419" s="9">
        <f t="shared" si="99"/>
        <v>83.5</v>
      </c>
      <c r="H419" s="9">
        <f t="shared" si="92"/>
        <v>2.25</v>
      </c>
      <c r="I419" t="str">
        <f t="shared" si="100"/>
        <v>PASSED</v>
      </c>
      <c r="J419" t="s">
        <v>270</v>
      </c>
      <c r="K419" t="s">
        <v>274</v>
      </c>
    </row>
    <row r="420" spans="1:11" x14ac:dyDescent="0.25">
      <c r="A420" s="5" t="s">
        <v>173</v>
      </c>
      <c r="B420" s="8" t="s">
        <v>282</v>
      </c>
      <c r="C420">
        <v>78</v>
      </c>
      <c r="D420">
        <v>84</v>
      </c>
      <c r="E420">
        <v>98</v>
      </c>
      <c r="F420">
        <v>78</v>
      </c>
      <c r="G420" s="9">
        <f t="shared" si="99"/>
        <v>84.5</v>
      </c>
      <c r="H420" s="9">
        <f t="shared" si="92"/>
        <v>2.25</v>
      </c>
      <c r="I420" t="str">
        <f t="shared" si="100"/>
        <v>PASSED</v>
      </c>
      <c r="J420" t="s">
        <v>279</v>
      </c>
      <c r="K420" t="s">
        <v>271</v>
      </c>
    </row>
    <row r="421" spans="1:11" x14ac:dyDescent="0.25">
      <c r="A421" s="5" t="s">
        <v>173</v>
      </c>
      <c r="B421" s="8" t="s">
        <v>278</v>
      </c>
      <c r="C421">
        <v>88</v>
      </c>
      <c r="D421">
        <v>77</v>
      </c>
      <c r="E421">
        <v>97</v>
      </c>
      <c r="F421">
        <v>98</v>
      </c>
      <c r="G421" s="9">
        <f t="shared" si="99"/>
        <v>90</v>
      </c>
      <c r="H421" s="9">
        <f t="shared" si="92"/>
        <v>1.75</v>
      </c>
      <c r="I421" t="str">
        <f t="shared" si="100"/>
        <v>PASSED</v>
      </c>
      <c r="J421" t="s">
        <v>270</v>
      </c>
      <c r="K421" t="s">
        <v>271</v>
      </c>
    </row>
    <row r="422" spans="1:11" x14ac:dyDescent="0.25">
      <c r="A422" s="5" t="s">
        <v>173</v>
      </c>
      <c r="B422" s="8" t="s">
        <v>277</v>
      </c>
      <c r="C422">
        <v>80</v>
      </c>
      <c r="D422">
        <v>96</v>
      </c>
      <c r="E422">
        <v>83</v>
      </c>
      <c r="F422">
        <v>94</v>
      </c>
      <c r="G422" s="9">
        <f t="shared" si="99"/>
        <v>88.25</v>
      </c>
      <c r="H422" s="9">
        <f t="shared" si="92"/>
        <v>2</v>
      </c>
      <c r="I422" t="str">
        <f t="shared" si="100"/>
        <v>PASSED</v>
      </c>
      <c r="J422" t="s">
        <v>276</v>
      </c>
      <c r="K422" t="s">
        <v>274</v>
      </c>
    </row>
    <row r="423" spans="1:11" x14ac:dyDescent="0.25">
      <c r="A423" s="5" t="s">
        <v>173</v>
      </c>
      <c r="B423" s="8" t="s">
        <v>273</v>
      </c>
      <c r="C423">
        <v>96</v>
      </c>
      <c r="D423">
        <v>95</v>
      </c>
      <c r="E423">
        <v>80</v>
      </c>
      <c r="F423">
        <v>98</v>
      </c>
      <c r="G423" s="9">
        <v>92.25</v>
      </c>
      <c r="H423" s="9">
        <f t="shared" si="92"/>
        <v>1.5</v>
      </c>
      <c r="I423" t="s">
        <v>285</v>
      </c>
      <c r="J423" t="s">
        <v>270</v>
      </c>
      <c r="K423" t="s">
        <v>271</v>
      </c>
    </row>
    <row r="424" spans="1:11" x14ac:dyDescent="0.25">
      <c r="A424" s="5" t="s">
        <v>173</v>
      </c>
      <c r="B424" s="8" t="s">
        <v>275</v>
      </c>
      <c r="C424">
        <v>96</v>
      </c>
      <c r="D424">
        <v>95</v>
      </c>
      <c r="E424">
        <v>80</v>
      </c>
      <c r="F424">
        <v>98</v>
      </c>
      <c r="G424" s="9">
        <v>92.25</v>
      </c>
      <c r="H424" s="9">
        <f t="shared" si="92"/>
        <v>1.5</v>
      </c>
      <c r="I424" t="s">
        <v>285</v>
      </c>
      <c r="J424" t="s">
        <v>270</v>
      </c>
      <c r="K424" t="s">
        <v>271</v>
      </c>
    </row>
    <row r="425" spans="1:11" x14ac:dyDescent="0.25">
      <c r="A425" s="5" t="str">
        <f>IFERROR(Students!B42, "Student Not Found")</f>
        <v>Carlo Torres</v>
      </c>
      <c r="B425" s="8" t="s">
        <v>281</v>
      </c>
      <c r="C425">
        <v>78</v>
      </c>
      <c r="D425">
        <v>83</v>
      </c>
      <c r="E425">
        <v>83</v>
      </c>
      <c r="F425">
        <v>91</v>
      </c>
      <c r="G425" s="9">
        <f t="shared" ref="G425:G430" si="101">AVERAGE(C425:F425)</f>
        <v>83.75</v>
      </c>
      <c r="H425" s="9">
        <f t="shared" si="92"/>
        <v>2.25</v>
      </c>
      <c r="I425" t="str">
        <f t="shared" ref="I425:I430" si="102">IF(H425&lt;=3,"PASSED","FAILED")</f>
        <v>PASSED</v>
      </c>
      <c r="J425" t="s">
        <v>279</v>
      </c>
      <c r="K425" t="s">
        <v>271</v>
      </c>
    </row>
    <row r="426" spans="1:11" x14ac:dyDescent="0.25">
      <c r="A426" s="5" t="s">
        <v>213</v>
      </c>
      <c r="B426" s="8" t="s">
        <v>269</v>
      </c>
      <c r="C426">
        <v>86</v>
      </c>
      <c r="D426">
        <v>97</v>
      </c>
      <c r="E426">
        <v>79</v>
      </c>
      <c r="F426">
        <v>81</v>
      </c>
      <c r="G426" s="9">
        <f t="shared" si="101"/>
        <v>85.75</v>
      </c>
      <c r="H426" s="9">
        <f t="shared" si="92"/>
        <v>2.25</v>
      </c>
      <c r="I426" t="str">
        <f t="shared" si="102"/>
        <v>PASSED</v>
      </c>
      <c r="J426" t="s">
        <v>270</v>
      </c>
      <c r="K426" t="s">
        <v>274</v>
      </c>
    </row>
    <row r="427" spans="1:11" x14ac:dyDescent="0.25">
      <c r="A427" s="5" t="s">
        <v>213</v>
      </c>
      <c r="B427" s="8" t="s">
        <v>272</v>
      </c>
      <c r="C427">
        <v>93</v>
      </c>
      <c r="D427">
        <v>84</v>
      </c>
      <c r="E427">
        <v>75</v>
      </c>
      <c r="F427">
        <v>98</v>
      </c>
      <c r="G427" s="9">
        <f t="shared" si="101"/>
        <v>87.5</v>
      </c>
      <c r="H427" s="9">
        <f t="shared" si="92"/>
        <v>2</v>
      </c>
      <c r="I427" t="str">
        <f t="shared" si="102"/>
        <v>PASSED</v>
      </c>
      <c r="J427" t="s">
        <v>276</v>
      </c>
      <c r="K427" t="s">
        <v>271</v>
      </c>
    </row>
    <row r="428" spans="1:11" x14ac:dyDescent="0.25">
      <c r="A428" s="5" t="s">
        <v>213</v>
      </c>
      <c r="B428" s="8" t="s">
        <v>280</v>
      </c>
      <c r="C428">
        <v>94</v>
      </c>
      <c r="D428">
        <v>76</v>
      </c>
      <c r="E428">
        <v>85</v>
      </c>
      <c r="F428">
        <v>95</v>
      </c>
      <c r="G428" s="9">
        <f t="shared" si="101"/>
        <v>87.5</v>
      </c>
      <c r="H428" s="9">
        <f t="shared" si="92"/>
        <v>2</v>
      </c>
      <c r="I428" t="str">
        <f t="shared" si="102"/>
        <v>PASSED</v>
      </c>
      <c r="J428" t="s">
        <v>270</v>
      </c>
      <c r="K428" t="s">
        <v>271</v>
      </c>
    </row>
    <row r="429" spans="1:11" x14ac:dyDescent="0.25">
      <c r="A429" s="5" t="s">
        <v>213</v>
      </c>
      <c r="B429" s="8" t="s">
        <v>282</v>
      </c>
      <c r="C429">
        <v>89</v>
      </c>
      <c r="D429">
        <v>85</v>
      </c>
      <c r="E429">
        <v>98</v>
      </c>
      <c r="F429">
        <v>76</v>
      </c>
      <c r="G429" s="9">
        <f t="shared" si="101"/>
        <v>87</v>
      </c>
      <c r="H429" s="9">
        <f t="shared" si="92"/>
        <v>2</v>
      </c>
      <c r="I429" t="str">
        <f t="shared" si="102"/>
        <v>PASSED</v>
      </c>
      <c r="J429" t="s">
        <v>276</v>
      </c>
      <c r="K429" t="s">
        <v>271</v>
      </c>
    </row>
    <row r="430" spans="1:11" x14ac:dyDescent="0.25">
      <c r="A430" s="5" t="s">
        <v>213</v>
      </c>
      <c r="B430" s="8" t="s">
        <v>278</v>
      </c>
      <c r="C430">
        <v>96</v>
      </c>
      <c r="D430">
        <v>93</v>
      </c>
      <c r="E430">
        <v>75</v>
      </c>
      <c r="F430">
        <v>79</v>
      </c>
      <c r="G430" s="9">
        <f t="shared" si="101"/>
        <v>85.75</v>
      </c>
      <c r="H430" s="9">
        <f t="shared" si="92"/>
        <v>2.25</v>
      </c>
      <c r="I430" t="str">
        <f t="shared" si="102"/>
        <v>PASSED</v>
      </c>
      <c r="J430" t="s">
        <v>279</v>
      </c>
      <c r="K430" t="s">
        <v>274</v>
      </c>
    </row>
    <row r="431" spans="1:11" x14ac:dyDescent="0.25">
      <c r="A431" s="5" t="s">
        <v>213</v>
      </c>
      <c r="B431" s="8" t="s">
        <v>277</v>
      </c>
      <c r="C431">
        <v>86</v>
      </c>
      <c r="D431">
        <v>77</v>
      </c>
      <c r="E431">
        <v>80</v>
      </c>
      <c r="F431">
        <v>92</v>
      </c>
      <c r="G431" s="9">
        <v>83.75</v>
      </c>
      <c r="H431" s="9">
        <f t="shared" si="92"/>
        <v>2.25</v>
      </c>
      <c r="I431" t="s">
        <v>285</v>
      </c>
      <c r="J431" t="s">
        <v>270</v>
      </c>
      <c r="K431" t="s">
        <v>274</v>
      </c>
    </row>
    <row r="432" spans="1:11" x14ac:dyDescent="0.25">
      <c r="A432" s="5" t="s">
        <v>213</v>
      </c>
      <c r="B432" s="8" t="s">
        <v>273</v>
      </c>
      <c r="C432">
        <v>86</v>
      </c>
      <c r="D432">
        <v>77</v>
      </c>
      <c r="E432">
        <v>80</v>
      </c>
      <c r="F432">
        <v>92</v>
      </c>
      <c r="G432" s="9">
        <v>83.75</v>
      </c>
      <c r="H432" s="9">
        <f t="shared" si="92"/>
        <v>2.25</v>
      </c>
      <c r="I432" t="s">
        <v>285</v>
      </c>
      <c r="J432" t="s">
        <v>270</v>
      </c>
      <c r="K432" t="s">
        <v>274</v>
      </c>
    </row>
    <row r="433" spans="1:11" x14ac:dyDescent="0.25">
      <c r="A433" s="5" t="s">
        <v>213</v>
      </c>
      <c r="B433" s="8" t="s">
        <v>275</v>
      </c>
      <c r="C433">
        <v>95</v>
      </c>
      <c r="D433">
        <v>79</v>
      </c>
      <c r="E433">
        <v>98</v>
      </c>
      <c r="F433">
        <v>78</v>
      </c>
      <c r="G433" s="9">
        <v>87.5</v>
      </c>
      <c r="H433" s="9">
        <f t="shared" si="92"/>
        <v>2</v>
      </c>
      <c r="I433" t="s">
        <v>285</v>
      </c>
      <c r="J433" t="s">
        <v>270</v>
      </c>
      <c r="K433" t="s">
        <v>274</v>
      </c>
    </row>
    <row r="434" spans="1:11" x14ac:dyDescent="0.25">
      <c r="A434" s="5" t="str">
        <f>IFERROR(Students!B51, "Student Not Found")</f>
        <v>Dina Garcia</v>
      </c>
      <c r="B434" s="8" t="s">
        <v>281</v>
      </c>
      <c r="C434">
        <v>79</v>
      </c>
      <c r="D434">
        <v>96</v>
      </c>
      <c r="E434">
        <v>92</v>
      </c>
      <c r="F434">
        <v>90</v>
      </c>
      <c r="G434" s="9">
        <f t="shared" ref="G434:G439" si="103">AVERAGE(C434:F434)</f>
        <v>89.25</v>
      </c>
      <c r="H434" s="9">
        <f t="shared" si="92"/>
        <v>1.75</v>
      </c>
      <c r="I434" t="str">
        <f t="shared" ref="I434:I439" si="104">IF(H434&lt;=3,"PASSED","FAILED")</f>
        <v>PASSED</v>
      </c>
      <c r="J434" t="s">
        <v>270</v>
      </c>
      <c r="K434" t="s">
        <v>271</v>
      </c>
    </row>
    <row r="435" spans="1:11" x14ac:dyDescent="0.25">
      <c r="A435" s="5" t="s">
        <v>258</v>
      </c>
      <c r="B435" s="8" t="s">
        <v>269</v>
      </c>
      <c r="C435">
        <v>82</v>
      </c>
      <c r="D435">
        <v>81</v>
      </c>
      <c r="E435">
        <v>93</v>
      </c>
      <c r="F435">
        <v>94</v>
      </c>
      <c r="G435" s="9">
        <f t="shared" si="103"/>
        <v>87.5</v>
      </c>
      <c r="H435" s="9">
        <f t="shared" si="92"/>
        <v>2</v>
      </c>
      <c r="I435" t="str">
        <f t="shared" si="104"/>
        <v>PASSED</v>
      </c>
      <c r="J435" t="s">
        <v>279</v>
      </c>
      <c r="K435" t="s">
        <v>271</v>
      </c>
    </row>
    <row r="436" spans="1:11" x14ac:dyDescent="0.25">
      <c r="A436" s="5" t="s">
        <v>258</v>
      </c>
      <c r="B436" s="8" t="s">
        <v>272</v>
      </c>
      <c r="C436">
        <v>79</v>
      </c>
      <c r="D436">
        <v>80</v>
      </c>
      <c r="E436">
        <v>89</v>
      </c>
      <c r="F436">
        <v>84</v>
      </c>
      <c r="G436" s="9">
        <f t="shared" si="103"/>
        <v>83</v>
      </c>
      <c r="H436" s="9">
        <f t="shared" si="92"/>
        <v>2.25</v>
      </c>
      <c r="I436" t="str">
        <f t="shared" si="104"/>
        <v>PASSED</v>
      </c>
      <c r="J436" t="s">
        <v>270</v>
      </c>
      <c r="K436" t="s">
        <v>271</v>
      </c>
    </row>
    <row r="437" spans="1:11" x14ac:dyDescent="0.25">
      <c r="A437" s="5" t="s">
        <v>258</v>
      </c>
      <c r="B437" s="8" t="s">
        <v>280</v>
      </c>
      <c r="C437">
        <v>85</v>
      </c>
      <c r="D437">
        <v>75</v>
      </c>
      <c r="E437">
        <v>89</v>
      </c>
      <c r="F437">
        <v>88</v>
      </c>
      <c r="G437" s="9">
        <f t="shared" si="103"/>
        <v>84.25</v>
      </c>
      <c r="H437" s="9">
        <f t="shared" si="92"/>
        <v>2.25</v>
      </c>
      <c r="I437" t="str">
        <f t="shared" si="104"/>
        <v>PASSED</v>
      </c>
      <c r="J437" t="s">
        <v>276</v>
      </c>
      <c r="K437" t="s">
        <v>271</v>
      </c>
    </row>
    <row r="438" spans="1:11" x14ac:dyDescent="0.25">
      <c r="A438" s="5" t="s">
        <v>258</v>
      </c>
      <c r="B438" s="8" t="s">
        <v>282</v>
      </c>
      <c r="C438">
        <v>75</v>
      </c>
      <c r="D438">
        <v>79</v>
      </c>
      <c r="E438">
        <v>92</v>
      </c>
      <c r="F438">
        <v>96</v>
      </c>
      <c r="G438" s="9">
        <f t="shared" si="103"/>
        <v>85.5</v>
      </c>
      <c r="H438" s="9">
        <f t="shared" si="92"/>
        <v>2.25</v>
      </c>
      <c r="I438" t="str">
        <f t="shared" si="104"/>
        <v>PASSED</v>
      </c>
      <c r="J438" t="s">
        <v>276</v>
      </c>
      <c r="K438" t="s">
        <v>271</v>
      </c>
    </row>
    <row r="439" spans="1:11" x14ac:dyDescent="0.25">
      <c r="A439" s="5" t="s">
        <v>258</v>
      </c>
      <c r="B439" s="8" t="s">
        <v>278</v>
      </c>
      <c r="C439">
        <v>90</v>
      </c>
      <c r="D439">
        <v>96</v>
      </c>
      <c r="E439">
        <v>89</v>
      </c>
      <c r="F439">
        <v>81</v>
      </c>
      <c r="G439" s="9">
        <f t="shared" si="103"/>
        <v>89</v>
      </c>
      <c r="H439" s="9">
        <f t="shared" si="92"/>
        <v>1.75</v>
      </c>
      <c r="I439" t="str">
        <f t="shared" si="104"/>
        <v>PASSED</v>
      </c>
      <c r="J439" t="s">
        <v>270</v>
      </c>
      <c r="K439" t="s">
        <v>274</v>
      </c>
    </row>
    <row r="440" spans="1:11" x14ac:dyDescent="0.25">
      <c r="A440" s="5" t="s">
        <v>258</v>
      </c>
      <c r="B440" s="8" t="s">
        <v>277</v>
      </c>
      <c r="C440">
        <v>75</v>
      </c>
      <c r="D440">
        <v>93</v>
      </c>
      <c r="E440">
        <v>86</v>
      </c>
      <c r="F440">
        <v>95</v>
      </c>
      <c r="G440" s="9">
        <v>87.25</v>
      </c>
      <c r="H440" s="9">
        <f t="shared" si="92"/>
        <v>2</v>
      </c>
      <c r="I440" t="s">
        <v>285</v>
      </c>
      <c r="J440" t="s">
        <v>270</v>
      </c>
      <c r="K440" t="s">
        <v>271</v>
      </c>
    </row>
    <row r="441" spans="1:11" x14ac:dyDescent="0.25">
      <c r="A441" s="5" t="s">
        <v>258</v>
      </c>
      <c r="B441" s="8" t="s">
        <v>273</v>
      </c>
      <c r="C441">
        <v>75</v>
      </c>
      <c r="D441">
        <v>93</v>
      </c>
      <c r="E441">
        <v>86</v>
      </c>
      <c r="F441">
        <v>95</v>
      </c>
      <c r="G441" s="9">
        <v>87.25</v>
      </c>
      <c r="H441" s="9">
        <f t="shared" si="92"/>
        <v>2</v>
      </c>
      <c r="I441" t="s">
        <v>285</v>
      </c>
      <c r="J441" t="s">
        <v>270</v>
      </c>
      <c r="K441" t="s">
        <v>271</v>
      </c>
    </row>
    <row r="442" spans="1:11" x14ac:dyDescent="0.25">
      <c r="A442" s="5" t="s">
        <v>258</v>
      </c>
      <c r="B442" s="8" t="s">
        <v>275</v>
      </c>
      <c r="C442">
        <v>79</v>
      </c>
      <c r="D442">
        <v>96</v>
      </c>
      <c r="E442">
        <v>92</v>
      </c>
      <c r="F442">
        <v>90</v>
      </c>
      <c r="G442" s="9">
        <v>89.25</v>
      </c>
      <c r="H442" s="9">
        <f t="shared" si="92"/>
        <v>1.75</v>
      </c>
      <c r="I442" t="s">
        <v>285</v>
      </c>
      <c r="J442" t="s">
        <v>270</v>
      </c>
      <c r="K442" t="s">
        <v>271</v>
      </c>
    </row>
    <row r="443" spans="1:11" x14ac:dyDescent="0.25">
      <c r="A443" s="5" t="str">
        <f>IFERROR(Students!B50, "Student Not Found")</f>
        <v>Dina Santos</v>
      </c>
      <c r="B443" s="8" t="s">
        <v>281</v>
      </c>
      <c r="C443">
        <v>96</v>
      </c>
      <c r="D443">
        <v>98</v>
      </c>
      <c r="E443">
        <v>84</v>
      </c>
      <c r="F443">
        <v>80</v>
      </c>
      <c r="G443" s="9">
        <f t="shared" ref="G443:G448" si="105">AVERAGE(C443:F443)</f>
        <v>89.5</v>
      </c>
      <c r="H443" s="9">
        <f t="shared" si="92"/>
        <v>1.75</v>
      </c>
      <c r="I443" t="str">
        <f t="shared" ref="I443:I448" si="106">IF(H443&lt;=3,"PASSED","FAILED")</f>
        <v>PASSED</v>
      </c>
      <c r="J443" t="s">
        <v>270</v>
      </c>
      <c r="K443" t="s">
        <v>274</v>
      </c>
    </row>
    <row r="444" spans="1:11" x14ac:dyDescent="0.25">
      <c r="A444" s="5" t="s">
        <v>253</v>
      </c>
      <c r="B444" s="8" t="s">
        <v>269</v>
      </c>
      <c r="C444">
        <v>87</v>
      </c>
      <c r="D444">
        <v>99</v>
      </c>
      <c r="E444">
        <v>80</v>
      </c>
      <c r="F444">
        <v>92</v>
      </c>
      <c r="G444" s="9">
        <f t="shared" si="105"/>
        <v>89.5</v>
      </c>
      <c r="H444" s="9">
        <f t="shared" si="92"/>
        <v>1.75</v>
      </c>
      <c r="I444" t="str">
        <f t="shared" si="106"/>
        <v>PASSED</v>
      </c>
      <c r="J444" t="s">
        <v>276</v>
      </c>
      <c r="K444" t="s">
        <v>271</v>
      </c>
    </row>
    <row r="445" spans="1:11" x14ac:dyDescent="0.25">
      <c r="A445" s="5" t="s">
        <v>253</v>
      </c>
      <c r="B445" s="8" t="s">
        <v>272</v>
      </c>
      <c r="C445">
        <v>85</v>
      </c>
      <c r="D445">
        <v>95</v>
      </c>
      <c r="E445">
        <v>75</v>
      </c>
      <c r="F445">
        <v>97</v>
      </c>
      <c r="G445" s="9">
        <f t="shared" si="105"/>
        <v>88</v>
      </c>
      <c r="H445" s="9">
        <f t="shared" si="92"/>
        <v>2</v>
      </c>
      <c r="I445" t="str">
        <f t="shared" si="106"/>
        <v>PASSED</v>
      </c>
      <c r="J445" t="s">
        <v>270</v>
      </c>
      <c r="K445" t="s">
        <v>271</v>
      </c>
    </row>
    <row r="446" spans="1:11" x14ac:dyDescent="0.25">
      <c r="A446" s="5" t="s">
        <v>253</v>
      </c>
      <c r="B446" s="8" t="s">
        <v>280</v>
      </c>
      <c r="C446">
        <v>76</v>
      </c>
      <c r="D446">
        <v>75</v>
      </c>
      <c r="E446">
        <v>78</v>
      </c>
      <c r="F446">
        <v>80</v>
      </c>
      <c r="G446" s="9">
        <f t="shared" si="105"/>
        <v>77.25</v>
      </c>
      <c r="H446" s="9">
        <f t="shared" si="92"/>
        <v>2.75</v>
      </c>
      <c r="I446" t="str">
        <f t="shared" si="106"/>
        <v>PASSED</v>
      </c>
      <c r="J446" t="s">
        <v>270</v>
      </c>
      <c r="K446" t="s">
        <v>271</v>
      </c>
    </row>
    <row r="447" spans="1:11" x14ac:dyDescent="0.25">
      <c r="A447" s="5" t="s">
        <v>253</v>
      </c>
      <c r="B447" s="8" t="s">
        <v>282</v>
      </c>
      <c r="C447">
        <v>89</v>
      </c>
      <c r="D447">
        <v>76</v>
      </c>
      <c r="E447">
        <v>79</v>
      </c>
      <c r="F447">
        <v>94</v>
      </c>
      <c r="G447" s="9">
        <f t="shared" si="105"/>
        <v>84.5</v>
      </c>
      <c r="H447" s="9">
        <f t="shared" si="92"/>
        <v>2.25</v>
      </c>
      <c r="I447" t="str">
        <f t="shared" si="106"/>
        <v>PASSED</v>
      </c>
      <c r="J447" t="s">
        <v>279</v>
      </c>
      <c r="K447" t="s">
        <v>274</v>
      </c>
    </row>
    <row r="448" spans="1:11" x14ac:dyDescent="0.25">
      <c r="A448" s="5" t="s">
        <v>253</v>
      </c>
      <c r="B448" s="8" t="s">
        <v>278</v>
      </c>
      <c r="C448">
        <v>98</v>
      </c>
      <c r="D448">
        <v>80</v>
      </c>
      <c r="E448">
        <v>89</v>
      </c>
      <c r="F448">
        <v>79</v>
      </c>
      <c r="G448" s="9">
        <f t="shared" si="105"/>
        <v>86.5</v>
      </c>
      <c r="H448" s="9">
        <f t="shared" si="92"/>
        <v>2</v>
      </c>
      <c r="I448" t="str">
        <f t="shared" si="106"/>
        <v>PASSED</v>
      </c>
      <c r="J448" t="s">
        <v>270</v>
      </c>
      <c r="K448" t="s">
        <v>274</v>
      </c>
    </row>
    <row r="449" spans="1:11" x14ac:dyDescent="0.25">
      <c r="A449" s="5" t="s">
        <v>253</v>
      </c>
      <c r="B449" s="8" t="s">
        <v>277</v>
      </c>
      <c r="C449">
        <v>77</v>
      </c>
      <c r="D449">
        <v>92</v>
      </c>
      <c r="E449">
        <v>84</v>
      </c>
      <c r="F449">
        <v>91</v>
      </c>
      <c r="G449" s="9">
        <v>86</v>
      </c>
      <c r="H449" s="9">
        <f t="shared" si="92"/>
        <v>2</v>
      </c>
      <c r="I449" t="s">
        <v>285</v>
      </c>
      <c r="J449" t="s">
        <v>276</v>
      </c>
      <c r="K449" t="s">
        <v>274</v>
      </c>
    </row>
    <row r="450" spans="1:11" x14ac:dyDescent="0.25">
      <c r="A450" s="5" t="s">
        <v>253</v>
      </c>
      <c r="B450" s="8" t="s">
        <v>273</v>
      </c>
      <c r="C450">
        <v>77</v>
      </c>
      <c r="D450">
        <v>92</v>
      </c>
      <c r="E450">
        <v>84</v>
      </c>
      <c r="F450">
        <v>91</v>
      </c>
      <c r="G450" s="9">
        <v>86</v>
      </c>
      <c r="H450" s="9">
        <f t="shared" si="92"/>
        <v>2</v>
      </c>
      <c r="I450" t="s">
        <v>285</v>
      </c>
      <c r="J450" t="s">
        <v>276</v>
      </c>
      <c r="K450" t="s">
        <v>274</v>
      </c>
    </row>
    <row r="451" spans="1:11" x14ac:dyDescent="0.25">
      <c r="A451" s="5" t="s">
        <v>253</v>
      </c>
      <c r="B451" s="8" t="s">
        <v>275</v>
      </c>
      <c r="C451">
        <v>79</v>
      </c>
      <c r="D451">
        <v>96</v>
      </c>
      <c r="E451">
        <v>92</v>
      </c>
      <c r="F451">
        <v>90</v>
      </c>
      <c r="G451" s="9">
        <v>89.25</v>
      </c>
      <c r="H451" s="9">
        <f t="shared" ref="H451" si="107">IF(G451&gt;=96,1,IF(G451&gt;=94,1.25,IF(G451&gt;=91,1.5,IF(G451&gt;=89,1.75,IF(G451&gt;=86,2,IF(G451&gt;=83,2.25,IF(G451&gt;=80,2.5,IF(G451&gt;=77,2.75,IF(G451&gt;=75,3,5)))))))))</f>
        <v>1.75</v>
      </c>
      <c r="I451" t="s">
        <v>285</v>
      </c>
      <c r="J451" t="s">
        <v>270</v>
      </c>
      <c r="K451" t="s">
        <v>274</v>
      </c>
    </row>
    <row r="602" spans="15:15" x14ac:dyDescent="0.25">
      <c r="O602" s="3"/>
    </row>
    <row r="603" spans="15:15" x14ac:dyDescent="0.25">
      <c r="O603" s="3"/>
    </row>
    <row r="604" spans="15:15" x14ac:dyDescent="0.25">
      <c r="O604" s="3"/>
    </row>
    <row r="605" spans="15:15" x14ac:dyDescent="0.25">
      <c r="O605" s="3"/>
    </row>
    <row r="606" spans="15:15" x14ac:dyDescent="0.25">
      <c r="O606" s="3"/>
    </row>
    <row r="607" spans="15:15" x14ac:dyDescent="0.25">
      <c r="O607" s="3"/>
    </row>
    <row r="608" spans="15:15" x14ac:dyDescent="0.25">
      <c r="O608" s="3"/>
    </row>
    <row r="609" spans="15:15" x14ac:dyDescent="0.25">
      <c r="O609" s="3"/>
    </row>
    <row r="610" spans="15:15" x14ac:dyDescent="0.25">
      <c r="O610" s="3"/>
    </row>
    <row r="611" spans="15:15" x14ac:dyDescent="0.25">
      <c r="O611" s="3"/>
    </row>
    <row r="612" spans="15:15" x14ac:dyDescent="0.25">
      <c r="O612" s="3"/>
    </row>
    <row r="613" spans="15:15" x14ac:dyDescent="0.25">
      <c r="O613" s="3"/>
    </row>
    <row r="614" spans="15:15" x14ac:dyDescent="0.25">
      <c r="O614" s="3"/>
    </row>
    <row r="615" spans="15:15" x14ac:dyDescent="0.25">
      <c r="O615" s="3"/>
    </row>
    <row r="616" spans="15:15" x14ac:dyDescent="0.25">
      <c r="O616" s="3"/>
    </row>
    <row r="617" spans="15:15" x14ac:dyDescent="0.25">
      <c r="O617" s="3"/>
    </row>
    <row r="618" spans="15:15" x14ac:dyDescent="0.25">
      <c r="O618" s="3"/>
    </row>
    <row r="619" spans="15:15" x14ac:dyDescent="0.25">
      <c r="O619" s="3"/>
    </row>
    <row r="620" spans="15:15" x14ac:dyDescent="0.25">
      <c r="O620" s="3"/>
    </row>
    <row r="621" spans="15:15" x14ac:dyDescent="0.25">
      <c r="O621" s="3"/>
    </row>
    <row r="622" spans="15:15" x14ac:dyDescent="0.25">
      <c r="O622" s="3"/>
    </row>
    <row r="623" spans="15:15" x14ac:dyDescent="0.25">
      <c r="O623" s="3"/>
    </row>
    <row r="624" spans="15:15" x14ac:dyDescent="0.25">
      <c r="O624" s="3"/>
    </row>
    <row r="625" spans="15:15" x14ac:dyDescent="0.25">
      <c r="O625" s="3"/>
    </row>
    <row r="626" spans="15:15" x14ac:dyDescent="0.25">
      <c r="O626" s="3"/>
    </row>
    <row r="627" spans="15:15" x14ac:dyDescent="0.25">
      <c r="O627" s="3"/>
    </row>
    <row r="628" spans="15:15" x14ac:dyDescent="0.25">
      <c r="O628" s="3"/>
    </row>
    <row r="629" spans="15:15" x14ac:dyDescent="0.25">
      <c r="O629" s="3"/>
    </row>
    <row r="630" spans="15:15" x14ac:dyDescent="0.25">
      <c r="O630" s="3"/>
    </row>
    <row r="631" spans="15:15" x14ac:dyDescent="0.25">
      <c r="O631" s="3"/>
    </row>
    <row r="632" spans="15:15" x14ac:dyDescent="0.25">
      <c r="O632" s="3"/>
    </row>
    <row r="633" spans="15:15" x14ac:dyDescent="0.25">
      <c r="O633" s="3"/>
    </row>
    <row r="634" spans="15:15" x14ac:dyDescent="0.25">
      <c r="O634" s="3"/>
    </row>
    <row r="635" spans="15:15" x14ac:dyDescent="0.25">
      <c r="O635" s="3"/>
    </row>
    <row r="636" spans="15:15" x14ac:dyDescent="0.25">
      <c r="O636" s="3"/>
    </row>
    <row r="637" spans="15:15" x14ac:dyDescent="0.25">
      <c r="O637" s="3"/>
    </row>
    <row r="638" spans="15:15" x14ac:dyDescent="0.25">
      <c r="O638" s="3"/>
    </row>
    <row r="639" spans="15:15" x14ac:dyDescent="0.25">
      <c r="O639" s="3"/>
    </row>
    <row r="640" spans="15:15" x14ac:dyDescent="0.25">
      <c r="O640" s="3"/>
    </row>
    <row r="641" spans="15:15" x14ac:dyDescent="0.25">
      <c r="O641" s="3"/>
    </row>
    <row r="642" spans="15:15" x14ac:dyDescent="0.25">
      <c r="O642" s="3"/>
    </row>
    <row r="643" spans="15:15" x14ac:dyDescent="0.25">
      <c r="O643" s="3"/>
    </row>
    <row r="644" spans="15:15" x14ac:dyDescent="0.25">
      <c r="O644" s="3"/>
    </row>
    <row r="645" spans="15:15" x14ac:dyDescent="0.25">
      <c r="O645" s="3"/>
    </row>
    <row r="646" spans="15:15" x14ac:dyDescent="0.25">
      <c r="O646" s="3"/>
    </row>
    <row r="647" spans="15:15" x14ac:dyDescent="0.25">
      <c r="O647" s="3"/>
    </row>
    <row r="648" spans="15:15" x14ac:dyDescent="0.25">
      <c r="O648" s="3"/>
    </row>
    <row r="649" spans="15:15" x14ac:dyDescent="0.25">
      <c r="O649" s="3"/>
    </row>
    <row r="650" spans="15:15" x14ac:dyDescent="0.25">
      <c r="O650" s="3"/>
    </row>
    <row r="651" spans="15:15" x14ac:dyDescent="0.25">
      <c r="O651" s="3"/>
    </row>
    <row r="652" spans="15:15" x14ac:dyDescent="0.25">
      <c r="O652" s="3"/>
    </row>
    <row r="653" spans="15:15" x14ac:dyDescent="0.25">
      <c r="O653" s="3"/>
    </row>
    <row r="654" spans="15:15" x14ac:dyDescent="0.25">
      <c r="O654" s="3"/>
    </row>
    <row r="655" spans="15:15" x14ac:dyDescent="0.25">
      <c r="O655" s="3"/>
    </row>
    <row r="656" spans="15:15" x14ac:dyDescent="0.25">
      <c r="O656" s="3"/>
    </row>
    <row r="657" spans="15:15" x14ac:dyDescent="0.25">
      <c r="O657" s="3"/>
    </row>
    <row r="658" spans="15:15" x14ac:dyDescent="0.25">
      <c r="O658" s="3"/>
    </row>
    <row r="659" spans="15:15" x14ac:dyDescent="0.25">
      <c r="O659" s="3"/>
    </row>
    <row r="660" spans="15:15" x14ac:dyDescent="0.25">
      <c r="O660" s="3"/>
    </row>
    <row r="661" spans="15:15" x14ac:dyDescent="0.25">
      <c r="O661" s="3"/>
    </row>
    <row r="662" spans="15:15" x14ac:dyDescent="0.25">
      <c r="O662" s="3"/>
    </row>
    <row r="663" spans="15:15" x14ac:dyDescent="0.25">
      <c r="O663" s="3"/>
    </row>
    <row r="664" spans="15:15" x14ac:dyDescent="0.25">
      <c r="O664" s="3"/>
    </row>
    <row r="665" spans="15:15" x14ac:dyDescent="0.25">
      <c r="O665" s="3"/>
    </row>
    <row r="666" spans="15:15" x14ac:dyDescent="0.25">
      <c r="O666" s="3"/>
    </row>
    <row r="667" spans="15:15" x14ac:dyDescent="0.25">
      <c r="O667" s="3"/>
    </row>
    <row r="668" spans="15:15" x14ac:dyDescent="0.25">
      <c r="O668" s="3"/>
    </row>
    <row r="669" spans="15:15" x14ac:dyDescent="0.25">
      <c r="O669" s="3"/>
    </row>
    <row r="670" spans="15:15" x14ac:dyDescent="0.25">
      <c r="O670" s="3"/>
    </row>
    <row r="671" spans="15:15" x14ac:dyDescent="0.25">
      <c r="O671" s="3"/>
    </row>
    <row r="672" spans="15:15" x14ac:dyDescent="0.25">
      <c r="O672" s="3"/>
    </row>
    <row r="673" spans="15:15" x14ac:dyDescent="0.25">
      <c r="O673" s="3"/>
    </row>
    <row r="674" spans="15:15" x14ac:dyDescent="0.25">
      <c r="O674" s="3"/>
    </row>
    <row r="675" spans="15:15" x14ac:dyDescent="0.25">
      <c r="O675" s="3"/>
    </row>
    <row r="676" spans="15:15" x14ac:dyDescent="0.25">
      <c r="O676" s="3"/>
    </row>
    <row r="677" spans="15:15" x14ac:dyDescent="0.25">
      <c r="O677" s="3"/>
    </row>
    <row r="678" spans="15:15" x14ac:dyDescent="0.25">
      <c r="O678" s="3"/>
    </row>
    <row r="679" spans="15:15" x14ac:dyDescent="0.25">
      <c r="O679" s="3"/>
    </row>
    <row r="680" spans="15:15" x14ac:dyDescent="0.25">
      <c r="O680" s="3"/>
    </row>
    <row r="681" spans="15:15" x14ac:dyDescent="0.25">
      <c r="O681" s="3"/>
    </row>
    <row r="682" spans="15:15" x14ac:dyDescent="0.25">
      <c r="O682" s="3"/>
    </row>
    <row r="683" spans="15:15" x14ac:dyDescent="0.25">
      <c r="O683" s="3"/>
    </row>
    <row r="684" spans="15:15" x14ac:dyDescent="0.25">
      <c r="O684" s="3"/>
    </row>
    <row r="685" spans="15:15" x14ac:dyDescent="0.25">
      <c r="O685" s="3"/>
    </row>
    <row r="686" spans="15:15" x14ac:dyDescent="0.25">
      <c r="O686" s="3"/>
    </row>
    <row r="687" spans="15:15" x14ac:dyDescent="0.25">
      <c r="O687" s="3"/>
    </row>
    <row r="688" spans="15:15" x14ac:dyDescent="0.25">
      <c r="O688" s="3"/>
    </row>
    <row r="689" spans="15:15" x14ac:dyDescent="0.25">
      <c r="O689" s="3"/>
    </row>
    <row r="690" spans="15:15" x14ac:dyDescent="0.25">
      <c r="O690" s="3"/>
    </row>
    <row r="691" spans="15:15" x14ac:dyDescent="0.25">
      <c r="O691" s="3"/>
    </row>
    <row r="692" spans="15:15" x14ac:dyDescent="0.25">
      <c r="O692" s="3"/>
    </row>
    <row r="693" spans="15:15" x14ac:dyDescent="0.25">
      <c r="O693" s="3"/>
    </row>
    <row r="694" spans="15:15" x14ac:dyDescent="0.25">
      <c r="O694" s="3"/>
    </row>
    <row r="695" spans="15:15" x14ac:dyDescent="0.25">
      <c r="O695" s="3"/>
    </row>
    <row r="696" spans="15:15" x14ac:dyDescent="0.25">
      <c r="O696" s="3"/>
    </row>
    <row r="697" spans="15:15" x14ac:dyDescent="0.25">
      <c r="O697" s="3"/>
    </row>
    <row r="698" spans="15:15" x14ac:dyDescent="0.25">
      <c r="O698" s="3"/>
    </row>
    <row r="699" spans="15:15" x14ac:dyDescent="0.25">
      <c r="O699" s="3"/>
    </row>
    <row r="700" spans="15:15" x14ac:dyDescent="0.25">
      <c r="O700" s="3"/>
    </row>
    <row r="701" spans="15:15" x14ac:dyDescent="0.25">
      <c r="O701" s="3"/>
    </row>
    <row r="702" spans="15:15" x14ac:dyDescent="0.25">
      <c r="O702" s="3"/>
    </row>
    <row r="703" spans="15:15" x14ac:dyDescent="0.25">
      <c r="O703" s="3"/>
    </row>
    <row r="704" spans="15:15" x14ac:dyDescent="0.25">
      <c r="O704" s="3"/>
    </row>
    <row r="705" spans="15:15" x14ac:dyDescent="0.25">
      <c r="O705" s="3"/>
    </row>
    <row r="706" spans="15:15" x14ac:dyDescent="0.25">
      <c r="O706" s="3"/>
    </row>
    <row r="707" spans="15:15" x14ac:dyDescent="0.25">
      <c r="O707" s="3"/>
    </row>
    <row r="708" spans="15:15" x14ac:dyDescent="0.25">
      <c r="O708" s="3"/>
    </row>
    <row r="709" spans="15:15" x14ac:dyDescent="0.25">
      <c r="O709" s="3"/>
    </row>
    <row r="710" spans="15:15" x14ac:dyDescent="0.25">
      <c r="O710" s="3"/>
    </row>
    <row r="711" spans="15:15" x14ac:dyDescent="0.25">
      <c r="O711" s="3"/>
    </row>
    <row r="712" spans="15:15" x14ac:dyDescent="0.25">
      <c r="O712" s="3"/>
    </row>
    <row r="713" spans="15:15" x14ac:dyDescent="0.25">
      <c r="O713" s="3"/>
    </row>
    <row r="714" spans="15:15" x14ac:dyDescent="0.25">
      <c r="O714" s="3"/>
    </row>
    <row r="715" spans="15:15" x14ac:dyDescent="0.25">
      <c r="O715" s="3"/>
    </row>
    <row r="716" spans="15:15" x14ac:dyDescent="0.25">
      <c r="O716" s="3"/>
    </row>
    <row r="717" spans="15:15" x14ac:dyDescent="0.25">
      <c r="O717" s="3"/>
    </row>
    <row r="718" spans="15:15" x14ac:dyDescent="0.25">
      <c r="O718" s="3"/>
    </row>
    <row r="719" spans="15:15" x14ac:dyDescent="0.25">
      <c r="O719" s="3"/>
    </row>
    <row r="720" spans="15:15" x14ac:dyDescent="0.25">
      <c r="O720" s="3"/>
    </row>
    <row r="721" spans="15:15" x14ac:dyDescent="0.25">
      <c r="O721" s="3"/>
    </row>
    <row r="722" spans="15:15" x14ac:dyDescent="0.25">
      <c r="O722" s="3"/>
    </row>
    <row r="723" spans="15:15" x14ac:dyDescent="0.25">
      <c r="O723" s="3"/>
    </row>
    <row r="724" spans="15:15" x14ac:dyDescent="0.25">
      <c r="O724" s="3"/>
    </row>
    <row r="725" spans="15:15" x14ac:dyDescent="0.25">
      <c r="O725" s="3"/>
    </row>
    <row r="726" spans="15:15" x14ac:dyDescent="0.25">
      <c r="O726" s="3"/>
    </row>
    <row r="727" spans="15:15" x14ac:dyDescent="0.25">
      <c r="O727" s="3"/>
    </row>
    <row r="728" spans="15:15" x14ac:dyDescent="0.25">
      <c r="O728" s="3"/>
    </row>
    <row r="729" spans="15:15" x14ac:dyDescent="0.25">
      <c r="O729" s="3"/>
    </row>
    <row r="730" spans="15:15" x14ac:dyDescent="0.25">
      <c r="O730" s="3"/>
    </row>
    <row r="731" spans="15:15" x14ac:dyDescent="0.25">
      <c r="O731" s="3"/>
    </row>
    <row r="732" spans="15:15" x14ac:dyDescent="0.25">
      <c r="O732" s="3"/>
    </row>
    <row r="733" spans="15:15" x14ac:dyDescent="0.25">
      <c r="O733" s="3"/>
    </row>
    <row r="734" spans="15:15" x14ac:dyDescent="0.25">
      <c r="O734" s="3"/>
    </row>
    <row r="735" spans="15:15" x14ac:dyDescent="0.25">
      <c r="O735" s="3"/>
    </row>
    <row r="736" spans="15:15" x14ac:dyDescent="0.25">
      <c r="O736" s="3"/>
    </row>
    <row r="737" spans="15:15" x14ac:dyDescent="0.25">
      <c r="O737" s="3"/>
    </row>
    <row r="738" spans="15:15" x14ac:dyDescent="0.25">
      <c r="O738" s="3"/>
    </row>
    <row r="739" spans="15:15" x14ac:dyDescent="0.25">
      <c r="O739" s="3"/>
    </row>
    <row r="740" spans="15:15" x14ac:dyDescent="0.25">
      <c r="O740" s="3"/>
    </row>
    <row r="741" spans="15:15" x14ac:dyDescent="0.25">
      <c r="O741" s="3"/>
    </row>
    <row r="742" spans="15:15" x14ac:dyDescent="0.25">
      <c r="O742" s="3"/>
    </row>
    <row r="743" spans="15:15" x14ac:dyDescent="0.25">
      <c r="O743" s="3"/>
    </row>
    <row r="744" spans="15:15" x14ac:dyDescent="0.25">
      <c r="O744" s="3"/>
    </row>
    <row r="745" spans="15:15" x14ac:dyDescent="0.25">
      <c r="O745" s="3"/>
    </row>
    <row r="746" spans="15:15" x14ac:dyDescent="0.25">
      <c r="O746" s="3"/>
    </row>
    <row r="747" spans="15:15" x14ac:dyDescent="0.25">
      <c r="O747" s="3"/>
    </row>
    <row r="748" spans="15:15" x14ac:dyDescent="0.25">
      <c r="O748" s="3"/>
    </row>
    <row r="749" spans="15:15" x14ac:dyDescent="0.25">
      <c r="O749" s="3"/>
    </row>
    <row r="750" spans="15:15" x14ac:dyDescent="0.25">
      <c r="O750" s="3"/>
    </row>
    <row r="751" spans="15:15" x14ac:dyDescent="0.25">
      <c r="O751" s="3"/>
    </row>
    <row r="752" spans="15:15" x14ac:dyDescent="0.25">
      <c r="O752" s="3"/>
    </row>
    <row r="753" spans="15:15" x14ac:dyDescent="0.25">
      <c r="O753" s="3"/>
    </row>
    <row r="754" spans="15:15" x14ac:dyDescent="0.25">
      <c r="O754" s="3"/>
    </row>
    <row r="755" spans="15:15" x14ac:dyDescent="0.25">
      <c r="O755" s="3"/>
    </row>
    <row r="756" spans="15:15" x14ac:dyDescent="0.25">
      <c r="O756" s="3"/>
    </row>
    <row r="757" spans="15:15" x14ac:dyDescent="0.25">
      <c r="O757" s="3"/>
    </row>
    <row r="758" spans="15:15" x14ac:dyDescent="0.25">
      <c r="O758" s="3"/>
    </row>
    <row r="759" spans="15:15" x14ac:dyDescent="0.25">
      <c r="O759" s="3"/>
    </row>
    <row r="760" spans="15:15" x14ac:dyDescent="0.25">
      <c r="O760" s="3"/>
    </row>
    <row r="761" spans="15:15" x14ac:dyDescent="0.25">
      <c r="O761" s="3"/>
    </row>
    <row r="762" spans="15:15" x14ac:dyDescent="0.25">
      <c r="O762" s="3"/>
    </row>
    <row r="763" spans="15:15" x14ac:dyDescent="0.25">
      <c r="O763" s="3"/>
    </row>
    <row r="764" spans="15:15" x14ac:dyDescent="0.25">
      <c r="O764" s="3"/>
    </row>
    <row r="765" spans="15:15" x14ac:dyDescent="0.25">
      <c r="O765" s="3"/>
    </row>
    <row r="766" spans="15:15" x14ac:dyDescent="0.25">
      <c r="O766" s="3"/>
    </row>
    <row r="767" spans="15:15" x14ac:dyDescent="0.25">
      <c r="O767" s="3"/>
    </row>
    <row r="768" spans="15:15" x14ac:dyDescent="0.25">
      <c r="O768" s="3"/>
    </row>
    <row r="769" spans="15:15" x14ac:dyDescent="0.25">
      <c r="O769" s="3"/>
    </row>
    <row r="770" spans="15:15" x14ac:dyDescent="0.25">
      <c r="O770" s="3"/>
    </row>
    <row r="771" spans="15:15" x14ac:dyDescent="0.25">
      <c r="O771" s="3"/>
    </row>
    <row r="772" spans="15:15" x14ac:dyDescent="0.25">
      <c r="O772" s="3"/>
    </row>
    <row r="773" spans="15:15" x14ac:dyDescent="0.25">
      <c r="O773" s="3"/>
    </row>
    <row r="774" spans="15:15" x14ac:dyDescent="0.25">
      <c r="O774" s="3"/>
    </row>
    <row r="775" spans="15:15" x14ac:dyDescent="0.25">
      <c r="O775" s="3"/>
    </row>
    <row r="776" spans="15:15" x14ac:dyDescent="0.25">
      <c r="O776" s="3"/>
    </row>
    <row r="777" spans="15:15" x14ac:dyDescent="0.25">
      <c r="O777" s="3"/>
    </row>
    <row r="778" spans="15:15" x14ac:dyDescent="0.25">
      <c r="O778" s="3"/>
    </row>
    <row r="779" spans="15:15" x14ac:dyDescent="0.25">
      <c r="O779" s="3"/>
    </row>
    <row r="780" spans="15:15" x14ac:dyDescent="0.25">
      <c r="O780" s="3"/>
    </row>
    <row r="781" spans="15:15" x14ac:dyDescent="0.25">
      <c r="O781" s="3"/>
    </row>
    <row r="782" spans="15:15" x14ac:dyDescent="0.25">
      <c r="O782" s="3"/>
    </row>
    <row r="783" spans="15:15" x14ac:dyDescent="0.25">
      <c r="O783" s="3"/>
    </row>
    <row r="784" spans="15:15" x14ac:dyDescent="0.25">
      <c r="O784" s="3"/>
    </row>
    <row r="785" spans="15:15" x14ac:dyDescent="0.25">
      <c r="O785" s="3"/>
    </row>
    <row r="786" spans="15:15" x14ac:dyDescent="0.25">
      <c r="O786" s="3"/>
    </row>
    <row r="787" spans="15:15" x14ac:dyDescent="0.25">
      <c r="O787" s="3"/>
    </row>
    <row r="788" spans="15:15" x14ac:dyDescent="0.25">
      <c r="O788" s="3"/>
    </row>
    <row r="789" spans="15:15" x14ac:dyDescent="0.25">
      <c r="O789" s="3"/>
    </row>
    <row r="790" spans="15:15" x14ac:dyDescent="0.25">
      <c r="O790" s="3"/>
    </row>
    <row r="791" spans="15:15" x14ac:dyDescent="0.25">
      <c r="O791" s="3"/>
    </row>
    <row r="792" spans="15:15" x14ac:dyDescent="0.25">
      <c r="O792" s="3"/>
    </row>
    <row r="793" spans="15:15" x14ac:dyDescent="0.25">
      <c r="O793" s="3"/>
    </row>
    <row r="794" spans="15:15" x14ac:dyDescent="0.25">
      <c r="O794" s="3"/>
    </row>
    <row r="795" spans="15:15" x14ac:dyDescent="0.25">
      <c r="O795" s="3"/>
    </row>
    <row r="796" spans="15:15" x14ac:dyDescent="0.25">
      <c r="O796" s="3"/>
    </row>
    <row r="797" spans="15:15" x14ac:dyDescent="0.25">
      <c r="O797" s="3"/>
    </row>
    <row r="798" spans="15:15" x14ac:dyDescent="0.25">
      <c r="O798" s="3"/>
    </row>
    <row r="799" spans="15:15" x14ac:dyDescent="0.25">
      <c r="O799" s="3"/>
    </row>
    <row r="800" spans="15:15" x14ac:dyDescent="0.25">
      <c r="O800" s="3"/>
    </row>
    <row r="801" spans="15:15" x14ac:dyDescent="0.25">
      <c r="O801" s="3"/>
    </row>
    <row r="802" spans="15:15" x14ac:dyDescent="0.25">
      <c r="O802" s="3"/>
    </row>
    <row r="803" spans="15:15" x14ac:dyDescent="0.25">
      <c r="O803" s="3"/>
    </row>
    <row r="804" spans="15:15" x14ac:dyDescent="0.25">
      <c r="O804" s="3"/>
    </row>
    <row r="805" spans="15:15" x14ac:dyDescent="0.25">
      <c r="O805" s="3"/>
    </row>
    <row r="806" spans="15:15" x14ac:dyDescent="0.25">
      <c r="O806" s="3"/>
    </row>
    <row r="807" spans="15:15" x14ac:dyDescent="0.25">
      <c r="O807" s="3"/>
    </row>
    <row r="808" spans="15:15" x14ac:dyDescent="0.25">
      <c r="O808" s="3"/>
    </row>
    <row r="809" spans="15:15" x14ac:dyDescent="0.25">
      <c r="O809" s="3"/>
    </row>
    <row r="810" spans="15:15" x14ac:dyDescent="0.25">
      <c r="O810" s="3"/>
    </row>
    <row r="811" spans="15:15" x14ac:dyDescent="0.25">
      <c r="O811" s="3"/>
    </row>
    <row r="812" spans="15:15" x14ac:dyDescent="0.25">
      <c r="O812" s="3"/>
    </row>
    <row r="813" spans="15:15" x14ac:dyDescent="0.25">
      <c r="O813" s="3"/>
    </row>
    <row r="814" spans="15:15" x14ac:dyDescent="0.25">
      <c r="O814" s="3"/>
    </row>
    <row r="815" spans="15:15" x14ac:dyDescent="0.25">
      <c r="O815" s="3"/>
    </row>
    <row r="816" spans="15:15" x14ac:dyDescent="0.25">
      <c r="O816" s="3"/>
    </row>
    <row r="817" spans="15:15" x14ac:dyDescent="0.25">
      <c r="O817" s="3"/>
    </row>
    <row r="818" spans="15:15" x14ac:dyDescent="0.25">
      <c r="O818" s="3"/>
    </row>
    <row r="819" spans="15:15" x14ac:dyDescent="0.25">
      <c r="O819" s="3"/>
    </row>
    <row r="820" spans="15:15" x14ac:dyDescent="0.25">
      <c r="O820" s="3"/>
    </row>
    <row r="821" spans="15:15" x14ac:dyDescent="0.25">
      <c r="O821" s="3"/>
    </row>
    <row r="822" spans="15:15" x14ac:dyDescent="0.25">
      <c r="O822" s="3"/>
    </row>
    <row r="823" spans="15:15" x14ac:dyDescent="0.25">
      <c r="O823" s="3"/>
    </row>
    <row r="824" spans="15:15" x14ac:dyDescent="0.25">
      <c r="O824" s="3"/>
    </row>
    <row r="825" spans="15:15" x14ac:dyDescent="0.25">
      <c r="O825" s="3"/>
    </row>
    <row r="826" spans="15:15" x14ac:dyDescent="0.25">
      <c r="O826" s="3"/>
    </row>
    <row r="827" spans="15:15" x14ac:dyDescent="0.25">
      <c r="O827" s="3"/>
    </row>
    <row r="828" spans="15:15" x14ac:dyDescent="0.25">
      <c r="O828" s="3"/>
    </row>
    <row r="829" spans="15:15" x14ac:dyDescent="0.25">
      <c r="O829" s="3"/>
    </row>
    <row r="830" spans="15:15" x14ac:dyDescent="0.25">
      <c r="O830" s="3"/>
    </row>
    <row r="831" spans="15:15" x14ac:dyDescent="0.25">
      <c r="O831" s="3"/>
    </row>
    <row r="832" spans="15:15" x14ac:dyDescent="0.25">
      <c r="O832" s="3"/>
    </row>
    <row r="833" spans="15:15" x14ac:dyDescent="0.25">
      <c r="O833" s="3"/>
    </row>
    <row r="834" spans="15:15" x14ac:dyDescent="0.25">
      <c r="O834" s="3"/>
    </row>
    <row r="835" spans="15:15" x14ac:dyDescent="0.25">
      <c r="O835" s="3"/>
    </row>
    <row r="836" spans="15:15" x14ac:dyDescent="0.25">
      <c r="O836" s="3"/>
    </row>
    <row r="837" spans="15:15" x14ac:dyDescent="0.25">
      <c r="O837" s="3"/>
    </row>
    <row r="838" spans="15:15" x14ac:dyDescent="0.25">
      <c r="O838" s="3"/>
    </row>
    <row r="839" spans="15:15" x14ac:dyDescent="0.25">
      <c r="O839" s="3"/>
    </row>
    <row r="840" spans="15:15" x14ac:dyDescent="0.25">
      <c r="O840" s="3"/>
    </row>
    <row r="841" spans="15:15" x14ac:dyDescent="0.25">
      <c r="O841" s="3"/>
    </row>
    <row r="842" spans="15:15" x14ac:dyDescent="0.25">
      <c r="O842" s="3"/>
    </row>
    <row r="843" spans="15:15" x14ac:dyDescent="0.25">
      <c r="O843" s="3"/>
    </row>
    <row r="844" spans="15:15" x14ac:dyDescent="0.25">
      <c r="O844" s="3"/>
    </row>
    <row r="845" spans="15:15" x14ac:dyDescent="0.25">
      <c r="O845" s="3"/>
    </row>
    <row r="846" spans="15:15" x14ac:dyDescent="0.25">
      <c r="O846" s="3"/>
    </row>
    <row r="847" spans="15:15" x14ac:dyDescent="0.25">
      <c r="O847" s="3"/>
    </row>
    <row r="848" spans="15:15" x14ac:dyDescent="0.25">
      <c r="O848" s="3"/>
    </row>
    <row r="849" spans="15:15" x14ac:dyDescent="0.25">
      <c r="O849" s="3"/>
    </row>
    <row r="850" spans="15:15" x14ac:dyDescent="0.25">
      <c r="O850" s="3"/>
    </row>
    <row r="851" spans="15:15" x14ac:dyDescent="0.25">
      <c r="O851" s="3"/>
    </row>
    <row r="852" spans="15:15" x14ac:dyDescent="0.25">
      <c r="O852" s="3"/>
    </row>
    <row r="853" spans="15:15" x14ac:dyDescent="0.25">
      <c r="O853" s="3"/>
    </row>
    <row r="854" spans="15:15" x14ac:dyDescent="0.25">
      <c r="O854" s="3"/>
    </row>
    <row r="855" spans="15:15" x14ac:dyDescent="0.25">
      <c r="O855" s="3"/>
    </row>
    <row r="856" spans="15:15" x14ac:dyDescent="0.25">
      <c r="O856" s="3"/>
    </row>
    <row r="857" spans="15:15" x14ac:dyDescent="0.25">
      <c r="O857" s="3"/>
    </row>
    <row r="858" spans="15:15" x14ac:dyDescent="0.25">
      <c r="O858" s="3"/>
    </row>
    <row r="859" spans="15:15" x14ac:dyDescent="0.25">
      <c r="O859" s="3"/>
    </row>
    <row r="860" spans="15:15" x14ac:dyDescent="0.25">
      <c r="O860" s="3"/>
    </row>
    <row r="861" spans="15:15" x14ac:dyDescent="0.25">
      <c r="O861" s="3"/>
    </row>
    <row r="862" spans="15:15" x14ac:dyDescent="0.25">
      <c r="O862" s="3"/>
    </row>
    <row r="863" spans="15:15" x14ac:dyDescent="0.25">
      <c r="O863" s="3"/>
    </row>
    <row r="864" spans="15:15" x14ac:dyDescent="0.25">
      <c r="O864" s="3"/>
    </row>
    <row r="865" spans="15:15" x14ac:dyDescent="0.25">
      <c r="O865" s="3"/>
    </row>
    <row r="866" spans="15:15" x14ac:dyDescent="0.25">
      <c r="O866" s="3"/>
    </row>
    <row r="867" spans="15:15" x14ac:dyDescent="0.25">
      <c r="O867" s="3"/>
    </row>
    <row r="868" spans="15:15" x14ac:dyDescent="0.25">
      <c r="O868" s="3"/>
    </row>
    <row r="869" spans="15:15" x14ac:dyDescent="0.25">
      <c r="O869" s="3"/>
    </row>
    <row r="870" spans="15:15" x14ac:dyDescent="0.25">
      <c r="O870" s="3"/>
    </row>
    <row r="871" spans="15:15" x14ac:dyDescent="0.25">
      <c r="O871" s="3"/>
    </row>
    <row r="872" spans="15:15" x14ac:dyDescent="0.25">
      <c r="O872" s="3"/>
    </row>
    <row r="873" spans="15:15" x14ac:dyDescent="0.25">
      <c r="O873" s="3"/>
    </row>
    <row r="874" spans="15:15" x14ac:dyDescent="0.25">
      <c r="O874" s="3"/>
    </row>
    <row r="875" spans="15:15" x14ac:dyDescent="0.25">
      <c r="O875" s="3"/>
    </row>
    <row r="876" spans="15:15" x14ac:dyDescent="0.25">
      <c r="O876" s="3"/>
    </row>
    <row r="877" spans="15:15" x14ac:dyDescent="0.25">
      <c r="O877" s="3"/>
    </row>
    <row r="878" spans="15:15" x14ac:dyDescent="0.25">
      <c r="O878" s="3"/>
    </row>
    <row r="879" spans="15:15" x14ac:dyDescent="0.25">
      <c r="O879" s="3"/>
    </row>
    <row r="880" spans="15:15" x14ac:dyDescent="0.25">
      <c r="O880" s="3"/>
    </row>
    <row r="881" spans="15:15" x14ac:dyDescent="0.25">
      <c r="O881" s="3"/>
    </row>
    <row r="882" spans="15:15" x14ac:dyDescent="0.25">
      <c r="O882" s="3"/>
    </row>
    <row r="883" spans="15:15" x14ac:dyDescent="0.25">
      <c r="O883" s="3"/>
    </row>
    <row r="884" spans="15:15" x14ac:dyDescent="0.25">
      <c r="O884" s="3"/>
    </row>
    <row r="885" spans="15:15" x14ac:dyDescent="0.25">
      <c r="O885" s="3"/>
    </row>
    <row r="886" spans="15:15" x14ac:dyDescent="0.25">
      <c r="O886" s="3"/>
    </row>
    <row r="887" spans="15:15" x14ac:dyDescent="0.25">
      <c r="O887" s="3"/>
    </row>
    <row r="888" spans="15:15" x14ac:dyDescent="0.25">
      <c r="O888" s="3"/>
    </row>
    <row r="889" spans="15:15" x14ac:dyDescent="0.25">
      <c r="O889" s="3"/>
    </row>
    <row r="890" spans="15:15" x14ac:dyDescent="0.25">
      <c r="O890" s="3"/>
    </row>
    <row r="891" spans="15:15" x14ac:dyDescent="0.25">
      <c r="O891" s="3"/>
    </row>
    <row r="892" spans="15:15" x14ac:dyDescent="0.25">
      <c r="O892" s="3"/>
    </row>
    <row r="893" spans="15:15" x14ac:dyDescent="0.25">
      <c r="O893" s="3"/>
    </row>
    <row r="894" spans="15:15" x14ac:dyDescent="0.25">
      <c r="O894" s="3"/>
    </row>
    <row r="895" spans="15:15" x14ac:dyDescent="0.25">
      <c r="O895" s="3"/>
    </row>
    <row r="896" spans="15:15" x14ac:dyDescent="0.25">
      <c r="O896" s="3"/>
    </row>
    <row r="897" spans="15:15" x14ac:dyDescent="0.25">
      <c r="O897" s="3"/>
    </row>
    <row r="898" spans="15:15" x14ac:dyDescent="0.25">
      <c r="O898" s="3"/>
    </row>
    <row r="899" spans="15:15" x14ac:dyDescent="0.25">
      <c r="O899" s="3"/>
    </row>
    <row r="900" spans="15:15" x14ac:dyDescent="0.25">
      <c r="O900" s="3"/>
    </row>
    <row r="901" spans="15:15" x14ac:dyDescent="0.25">
      <c r="O901" s="3"/>
    </row>
    <row r="902" spans="15:15" x14ac:dyDescent="0.25">
      <c r="O902" s="3"/>
    </row>
    <row r="903" spans="15:15" x14ac:dyDescent="0.25">
      <c r="O903" s="3"/>
    </row>
    <row r="904" spans="15:15" x14ac:dyDescent="0.25">
      <c r="O904" s="3"/>
    </row>
    <row r="905" spans="15:15" x14ac:dyDescent="0.25">
      <c r="O905" s="3"/>
    </row>
    <row r="906" spans="15:15" x14ac:dyDescent="0.25">
      <c r="O906" s="3"/>
    </row>
    <row r="907" spans="15:15" x14ac:dyDescent="0.25">
      <c r="O907" s="3"/>
    </row>
    <row r="908" spans="15:15" x14ac:dyDescent="0.25">
      <c r="O908" s="3"/>
    </row>
    <row r="909" spans="15:15" x14ac:dyDescent="0.25">
      <c r="O909" s="3"/>
    </row>
    <row r="910" spans="15:15" x14ac:dyDescent="0.25">
      <c r="O910" s="3"/>
    </row>
    <row r="911" spans="15:15" x14ac:dyDescent="0.25">
      <c r="O911" s="3"/>
    </row>
    <row r="912" spans="15:15" x14ac:dyDescent="0.25">
      <c r="O912" s="3"/>
    </row>
    <row r="913" spans="15:15" x14ac:dyDescent="0.25">
      <c r="O913" s="3"/>
    </row>
    <row r="914" spans="15:15" x14ac:dyDescent="0.25">
      <c r="O914" s="3"/>
    </row>
    <row r="915" spans="15:15" x14ac:dyDescent="0.25">
      <c r="O915" s="3"/>
    </row>
    <row r="916" spans="15:15" x14ac:dyDescent="0.25">
      <c r="O916" s="3"/>
    </row>
    <row r="917" spans="15:15" x14ac:dyDescent="0.25">
      <c r="O917" s="3"/>
    </row>
    <row r="918" spans="15:15" x14ac:dyDescent="0.25">
      <c r="O918" s="3"/>
    </row>
    <row r="919" spans="15:15" x14ac:dyDescent="0.25">
      <c r="O919" s="3"/>
    </row>
    <row r="920" spans="15:15" x14ac:dyDescent="0.25">
      <c r="O920" s="3"/>
    </row>
    <row r="921" spans="15:15" x14ac:dyDescent="0.25">
      <c r="O921" s="3"/>
    </row>
    <row r="922" spans="15:15" x14ac:dyDescent="0.25">
      <c r="O922" s="3"/>
    </row>
    <row r="923" spans="15:15" x14ac:dyDescent="0.25">
      <c r="O923" s="3"/>
    </row>
    <row r="924" spans="15:15" x14ac:dyDescent="0.25">
      <c r="O924" s="3"/>
    </row>
    <row r="925" spans="15:15" x14ac:dyDescent="0.25">
      <c r="O925" s="3"/>
    </row>
    <row r="926" spans="15:15" x14ac:dyDescent="0.25">
      <c r="O926" s="3"/>
    </row>
    <row r="927" spans="15:15" x14ac:dyDescent="0.25">
      <c r="O927" s="3"/>
    </row>
  </sheetData>
  <phoneticPr fontId="1" type="noConversion"/>
  <conditionalFormatting sqref="I2:I451">
    <cfRule type="expression" dxfId="3" priority="5">
      <formula>I2="PASSED"</formula>
    </cfRule>
    <cfRule type="expression" dxfId="2" priority="6">
      <formula>I2="Failed"</formula>
    </cfRule>
    <cfRule type="expression" dxfId="1" priority="7" stopIfTrue="1">
      <formula>$I$2="PASSED"</formula>
    </cfRule>
    <cfRule type="expression" dxfId="0" priority="8" stopIfTrue="1">
      <formula>$I$2="FAILED"</formula>
    </cfRule>
  </conditionalFormatting>
  <conditionalFormatting sqref="J3:K340">
    <cfRule type="expression" dxfId="6" priority="1" stopIfTrue="1">
      <formula>$I$2="PASSED"</formula>
    </cfRule>
  </conditionalFormatting>
  <conditionalFormatting sqref="M602:N927">
    <cfRule type="expression" dxfId="5" priority="9" stopIfTrue="1">
      <formula>$I$2="PASSED"</formula>
    </cfRule>
    <cfRule type="expression" dxfId="4" priority="9" stopIfTrue="1">
      <formula>$I$2="FAILED"</formula>
    </cfRule>
  </conditionalFormatting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Blusky Starlight</cp:lastModifiedBy>
  <dcterms:created xsi:type="dcterms:W3CDTF">2026-02-07T18:03:17Z</dcterms:created>
  <dcterms:modified xsi:type="dcterms:W3CDTF">2026-02-07T21:28:20Z</dcterms:modified>
</cp:coreProperties>
</file>